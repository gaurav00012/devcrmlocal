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2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ggar\Desktop\"/>
    </mc:Choice>
  </mc:AlternateContent>
  <bookViews>
    <workbookView xWindow="0" yWindow="0" windowWidth="20490" windowHeight="9195" activeTab="1"/>
  </bookViews>
  <sheets>
    <sheet name="01" sheetId="1" r:id="rId1"/>
    <sheet name="Sheet1" sheetId="3" r:id="rId2"/>
    <sheet name="Code_Details" sheetId="2" state="hidden" r:id="rId3"/>
  </sheets>
  <definedNames>
    <definedName name="_xlnm._FilterDatabase" localSheetId="0" hidden="1">'01'!$A$4:$AH$39</definedName>
    <definedName name="_xlnm._FilterDatabase" localSheetId="2" hidden="1">Code_Details!$A$12:$E$39</definedName>
    <definedName name="OPERATION" comment="DM,RM, and Other Bata Staff Work in out of Office">'01'!$L$1</definedName>
    <definedName name="_xlnm.Print_Area" localSheetId="0">'01'!$A$1:$P$51</definedName>
    <definedName name="Z_271C6151_21AB_456E_9D7E_FBBEA714E435_.wvu.Cols" localSheetId="0" hidden="1">'01'!$Q:$XFD</definedName>
    <definedName name="Z_271C6151_21AB_456E_9D7E_FBBEA714E435_.wvu.FilterData" localSheetId="0" hidden="1">'01'!$A$4:$AH$39</definedName>
    <definedName name="Z_271C6151_21AB_456E_9D7E_FBBEA714E435_.wvu.FilterData" localSheetId="2" hidden="1">Code_Details!$A$12:$E$39</definedName>
    <definedName name="Z_271C6151_21AB_456E_9D7E_FBBEA714E435_.wvu.PrintArea" localSheetId="0" hidden="1">'01'!$A$1:$P$51</definedName>
    <definedName name="Z_271C6151_21AB_456E_9D7E_FBBEA714E435_.wvu.Rows" localSheetId="0" hidden="1">'01'!$53:$1048576</definedName>
    <definedName name="Z_AE5B6E33_D665_4094_B85E_C1DB58D05A0E_.wvu.Cols" localSheetId="0" hidden="1">'01'!$Q:$XFD</definedName>
    <definedName name="Z_AE5B6E33_D665_4094_B85E_C1DB58D05A0E_.wvu.FilterData" localSheetId="0" hidden="1">'01'!$A$4:$AH$39</definedName>
    <definedName name="Z_AE5B6E33_D665_4094_B85E_C1DB58D05A0E_.wvu.FilterData" localSheetId="2" hidden="1">Code_Details!$A$12:$E$39</definedName>
    <definedName name="Z_AE5B6E33_D665_4094_B85E_C1DB58D05A0E_.wvu.PrintArea" localSheetId="0" hidden="1">'01'!$A$1:$P$51</definedName>
    <definedName name="Z_AE5B6E33_D665_4094_B85E_C1DB58D05A0E_.wvu.Rows" localSheetId="0" hidden="1">'01'!$53:$1048576</definedName>
  </definedNames>
  <calcPr calcId="152511"/>
  <customWorkbookViews>
    <customWorkbookView name="GAURAV AGGARWAL - Personal View" guid="{271C6151-21AB-456E-9D7E-FBBEA714E435}" mergeInterval="0" personalView="1" maximized="1" xWindow="-8" yWindow="-8" windowWidth="1382" windowHeight="754" activeSheetId="3"/>
    <customWorkbookView name="Chitra Dubey - Personal View" guid="{AE5B6E33-D665-4094-B85E-C1DB58D05A0E}" mergeInterval="0" personalView="1" maximized="1" windowWidth="1362" windowHeight="543" activeSheetId="1"/>
  </customWorkbookViews>
</workbook>
</file>

<file path=xl/calcChain.xml><?xml version="1.0" encoding="utf-8"?>
<calcChain xmlns="http://schemas.openxmlformats.org/spreadsheetml/2006/main">
  <c r="N33" i="3" l="1"/>
  <c r="H33" i="3"/>
  <c r="H32" i="3"/>
  <c r="N32" i="3" s="1"/>
  <c r="H31" i="3"/>
  <c r="N31" i="3" s="1"/>
  <c r="N30" i="3"/>
  <c r="H30" i="3"/>
  <c r="H29" i="3"/>
  <c r="N29" i="3" s="1"/>
  <c r="H28" i="3"/>
  <c r="N28" i="3" s="1"/>
  <c r="H27" i="3"/>
  <c r="N27" i="3" s="1"/>
  <c r="N26" i="3"/>
  <c r="H26" i="3"/>
  <c r="H25" i="3"/>
  <c r="N25" i="3" s="1"/>
  <c r="H24" i="3"/>
  <c r="N24" i="3" s="1"/>
  <c r="H23" i="3"/>
  <c r="N22" i="3"/>
  <c r="N21" i="3"/>
  <c r="N20" i="3"/>
  <c r="N19" i="3"/>
  <c r="N18" i="3"/>
  <c r="N17" i="3"/>
  <c r="N16" i="3"/>
  <c r="N15" i="3"/>
  <c r="N14" i="3"/>
  <c r="N13" i="3"/>
  <c r="H12" i="3"/>
  <c r="N12" i="3" s="1"/>
  <c r="N11" i="3"/>
  <c r="N10" i="3"/>
  <c r="N9" i="3"/>
  <c r="N8" i="3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N7" i="3"/>
  <c r="A7" i="3"/>
  <c r="N6" i="3"/>
  <c r="A6" i="3"/>
  <c r="H5" i="3"/>
  <c r="N5" i="3" s="1"/>
  <c r="O2" i="3"/>
  <c r="I47" i="1" l="1"/>
  <c r="D47" i="1" s="1"/>
  <c r="H47" i="1" l="1"/>
  <c r="G47" i="1"/>
  <c r="E47" i="1"/>
  <c r="F47" i="1"/>
  <c r="A6" i="1" l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H9" i="1"/>
  <c r="H28" i="1"/>
  <c r="N28" i="1" s="1"/>
  <c r="H27" i="1"/>
  <c r="N27" i="1" s="1"/>
  <c r="H26" i="1"/>
  <c r="N26" i="1" s="1"/>
  <c r="H25" i="1"/>
  <c r="N25" i="1" s="1"/>
  <c r="H24" i="1"/>
  <c r="N24" i="1" s="1"/>
  <c r="H23" i="1"/>
  <c r="N23" i="1" s="1"/>
  <c r="H22" i="1"/>
  <c r="N22" i="1" s="1"/>
  <c r="H21" i="1"/>
  <c r="N21" i="1" s="1"/>
  <c r="H20" i="1"/>
  <c r="N20" i="1" s="1"/>
  <c r="H19" i="1"/>
  <c r="N19" i="1" s="1"/>
  <c r="H18" i="1"/>
  <c r="N18" i="1" s="1"/>
  <c r="O2" i="1"/>
  <c r="H38" i="1"/>
  <c r="N38" i="1" s="1"/>
  <c r="H37" i="1"/>
  <c r="N37" i="1" s="1"/>
  <c r="H36" i="1"/>
  <c r="N36" i="1" s="1"/>
  <c r="H35" i="1"/>
  <c r="N35" i="1" s="1"/>
  <c r="H34" i="1"/>
  <c r="N34" i="1" s="1"/>
  <c r="H33" i="1"/>
  <c r="N33" i="1" s="1"/>
  <c r="H32" i="1"/>
  <c r="N32" i="1" s="1"/>
  <c r="H31" i="1"/>
  <c r="N31" i="1" s="1"/>
  <c r="H30" i="1"/>
  <c r="N30" i="1" s="1"/>
  <c r="H29" i="1"/>
  <c r="N29" i="1" s="1"/>
  <c r="H17" i="1"/>
  <c r="N17" i="1" s="1"/>
  <c r="H16" i="1"/>
  <c r="N16" i="1" s="1"/>
  <c r="H15" i="1"/>
  <c r="N15" i="1" s="1"/>
  <c r="H14" i="1"/>
  <c r="N14" i="1" s="1"/>
  <c r="H13" i="1"/>
  <c r="N13" i="1" s="1"/>
  <c r="H12" i="1"/>
  <c r="N12" i="1" s="1"/>
  <c r="H11" i="1"/>
  <c r="H10" i="1"/>
  <c r="N10" i="1" s="1"/>
  <c r="H8" i="1"/>
  <c r="N8" i="1" s="1"/>
  <c r="H7" i="1"/>
  <c r="H6" i="1"/>
  <c r="N6" i="1" s="1"/>
  <c r="H5" i="1"/>
  <c r="N5" i="1" s="1"/>
  <c r="M39" i="1"/>
  <c r="I48" i="1" s="1"/>
  <c r="O39" i="1"/>
  <c r="K39" i="1"/>
  <c r="I45" i="1" s="1"/>
  <c r="I39" i="1"/>
  <c r="I43" i="1" s="1"/>
  <c r="L39" i="1"/>
  <c r="I46" i="1" s="1"/>
  <c r="J39" i="1"/>
  <c r="I44" i="1" s="1"/>
  <c r="H45" i="1" l="1"/>
  <c r="G45" i="1"/>
  <c r="E45" i="1"/>
  <c r="F45" i="1"/>
  <c r="G43" i="1"/>
  <c r="E43" i="1"/>
  <c r="H43" i="1"/>
  <c r="F43" i="1"/>
  <c r="G44" i="1"/>
  <c r="H44" i="1"/>
  <c r="E44" i="1"/>
  <c r="F44" i="1"/>
  <c r="G46" i="1"/>
  <c r="F46" i="1"/>
  <c r="E46" i="1"/>
  <c r="H46" i="1"/>
  <c r="G48" i="1"/>
  <c r="H48" i="1"/>
  <c r="F48" i="1"/>
  <c r="E48" i="1"/>
  <c r="D48" i="1"/>
  <c r="D46" i="1"/>
  <c r="D45" i="1"/>
  <c r="D44" i="1"/>
  <c r="D43" i="1"/>
  <c r="N7" i="1"/>
  <c r="N9" i="1"/>
  <c r="H39" i="1"/>
  <c r="I42" i="1" s="1"/>
  <c r="N11" i="1"/>
  <c r="G42" i="1" l="1"/>
  <c r="G49" i="1" s="1"/>
  <c r="D42" i="1"/>
  <c r="D49" i="1" s="1"/>
  <c r="H42" i="1"/>
  <c r="H49" i="1" s="1"/>
  <c r="F42" i="1"/>
  <c r="F49" i="1" s="1"/>
  <c r="I49" i="1"/>
  <c r="E42" i="1"/>
  <c r="E49" i="1" s="1"/>
  <c r="J46" i="1"/>
  <c r="K46" i="1" s="1"/>
  <c r="J45" i="1"/>
  <c r="K45" i="1" s="1"/>
  <c r="J48" i="1"/>
  <c r="K48" i="1" s="1"/>
  <c r="J47" i="1"/>
  <c r="K47" i="1" s="1"/>
  <c r="J43" i="1"/>
  <c r="K43" i="1" s="1"/>
  <c r="N39" i="1"/>
  <c r="J44" i="1"/>
  <c r="K44" i="1" s="1"/>
  <c r="J42" i="1" l="1"/>
  <c r="K42" i="1" s="1"/>
  <c r="J49" i="1" l="1"/>
  <c r="K49" i="1" s="1"/>
</calcChain>
</file>

<file path=xl/sharedStrings.xml><?xml version="1.0" encoding="utf-8"?>
<sst xmlns="http://schemas.openxmlformats.org/spreadsheetml/2006/main" count="339" uniqueCount="127">
  <si>
    <t>Description</t>
  </si>
  <si>
    <t>Name :</t>
  </si>
  <si>
    <t>KM</t>
  </si>
  <si>
    <t xml:space="preserve">Proof of Travel Expense </t>
  </si>
  <si>
    <t>Total</t>
  </si>
  <si>
    <t>Concept No.</t>
  </si>
  <si>
    <t>1200/75L</t>
  </si>
  <si>
    <t>1200/75F</t>
  </si>
  <si>
    <t>1200/75O</t>
  </si>
  <si>
    <t>1200/75B</t>
  </si>
  <si>
    <t>Snacks / Food bill (Lunch / Dinner )</t>
  </si>
  <si>
    <t>1200/87ME</t>
  </si>
  <si>
    <t xml:space="preserve"> ( Signature of Traveller )</t>
  </si>
  <si>
    <t>(Signature of Departmental Head )</t>
  </si>
  <si>
    <t>FSC</t>
  </si>
  <si>
    <t>HP</t>
  </si>
  <si>
    <t>FAM</t>
  </si>
  <si>
    <t>FOOTIN</t>
  </si>
  <si>
    <t>MEP</t>
  </si>
  <si>
    <t>MC</t>
  </si>
  <si>
    <t>Emp. Code :</t>
  </si>
  <si>
    <t>1200/87C</t>
  </si>
  <si>
    <t>1200/87AM</t>
  </si>
  <si>
    <t>Sr No.</t>
  </si>
  <si>
    <t>Garde</t>
  </si>
  <si>
    <t>Department</t>
  </si>
  <si>
    <t>Concept Name</t>
  </si>
  <si>
    <t xml:space="preserve">Snacks/Food </t>
  </si>
  <si>
    <t>LOCAL</t>
  </si>
  <si>
    <t>Air Fare  / Train Fare</t>
  </si>
  <si>
    <t>Hotel Bill                (Only Stay)</t>
  </si>
  <si>
    <t>Remark</t>
  </si>
  <si>
    <t>OUT - STATION</t>
  </si>
  <si>
    <t>Date                 DD-MM-YYYY</t>
  </si>
  <si>
    <t>RNO</t>
  </si>
  <si>
    <t>OFFICE</t>
  </si>
  <si>
    <t>Conveyence         ( Bus / Auto / Taxi) Parking</t>
  </si>
  <si>
    <t>DA / Parking</t>
  </si>
  <si>
    <t>Total Local Expenses</t>
  </si>
  <si>
    <t xml:space="preserve">Total Amout          </t>
  </si>
  <si>
    <t>J&amp;K</t>
  </si>
  <si>
    <t>Chandigarh</t>
  </si>
  <si>
    <t>Delhi</t>
  </si>
  <si>
    <t>H.P</t>
  </si>
  <si>
    <t>Haryana</t>
  </si>
  <si>
    <t>Punjab</t>
  </si>
  <si>
    <t>Rajasthan</t>
  </si>
  <si>
    <t>U.P</t>
  </si>
  <si>
    <t>Uttaranchal</t>
  </si>
  <si>
    <t>STATE</t>
  </si>
  <si>
    <t>1046GST</t>
  </si>
  <si>
    <t>9004C</t>
  </si>
  <si>
    <t>CGST Recoverable -Chandigarh</t>
  </si>
  <si>
    <t>9007C</t>
  </si>
  <si>
    <t>CGST Recoverable -Delhi</t>
  </si>
  <si>
    <t>9002C</t>
  </si>
  <si>
    <t>CGST Recoverable -H.P</t>
  </si>
  <si>
    <t>9006C</t>
  </si>
  <si>
    <t>CGST Recoverable -Haryana</t>
  </si>
  <si>
    <t>9001C</t>
  </si>
  <si>
    <t>CGST Recoverable -J&amp;K</t>
  </si>
  <si>
    <t>9003C</t>
  </si>
  <si>
    <t>CGST Recoverable -Punjab</t>
  </si>
  <si>
    <t>9008C</t>
  </si>
  <si>
    <t>CGST Recoverable -Rajasthan</t>
  </si>
  <si>
    <t>9009C</t>
  </si>
  <si>
    <t>CGST Recoverable -U.P</t>
  </si>
  <si>
    <t>9005C</t>
  </si>
  <si>
    <t>CGST Recoverable -Uttaranchal</t>
  </si>
  <si>
    <t>9004I</t>
  </si>
  <si>
    <t>IGST Recoverable -Chandigarh</t>
  </si>
  <si>
    <t>9007I</t>
  </si>
  <si>
    <t>IGST Recoverable -Delhi</t>
  </si>
  <si>
    <t>9002I</t>
  </si>
  <si>
    <t>IGST Recoverable-H.P</t>
  </si>
  <si>
    <t>9006I</t>
  </si>
  <si>
    <t>IGST Recoverable-Haryana</t>
  </si>
  <si>
    <t>9001I</t>
  </si>
  <si>
    <t>IGST Recoverable-J&amp;K</t>
  </si>
  <si>
    <t>9003I</t>
  </si>
  <si>
    <t>IGST Recoverable-Punjab</t>
  </si>
  <si>
    <t>9008I</t>
  </si>
  <si>
    <t>IGST Recoverable-Rajasthan</t>
  </si>
  <si>
    <t>9009I</t>
  </si>
  <si>
    <t>IGST Recoverable-U.P</t>
  </si>
  <si>
    <t>9005I</t>
  </si>
  <si>
    <t>IGST Recoverable-Uttaranchal</t>
  </si>
  <si>
    <t>9007S</t>
  </si>
  <si>
    <t>SGST Recoverable -Delhi</t>
  </si>
  <si>
    <t>9002S</t>
  </si>
  <si>
    <t>SGST Recoverable-H.P</t>
  </si>
  <si>
    <t>9006S</t>
  </si>
  <si>
    <t>SGST Recoverable-Haryana</t>
  </si>
  <si>
    <t>9001S</t>
  </si>
  <si>
    <t>SGST Recoverable-J&amp;K</t>
  </si>
  <si>
    <t>9003S</t>
  </si>
  <si>
    <t>SGST Recoverable-Punjab</t>
  </si>
  <si>
    <t>9008S</t>
  </si>
  <si>
    <t>SGST Recoverable-Rajasthan</t>
  </si>
  <si>
    <t>9009S</t>
  </si>
  <si>
    <t>SGST Recoverable-U.P</t>
  </si>
  <si>
    <t>9005S</t>
  </si>
  <si>
    <t>SGST Recoverable-Uttaranchal</t>
  </si>
  <si>
    <t>9004U</t>
  </si>
  <si>
    <t>UTGST Recoverable -Chandigarh</t>
  </si>
  <si>
    <t>TOTAL</t>
  </si>
  <si>
    <t>Jammu &amp; Kashmir Code-01</t>
  </si>
  <si>
    <t>Himachal Pradesh Code-02</t>
  </si>
  <si>
    <t>Punjab Code-03</t>
  </si>
  <si>
    <t>Chandigarh Code-04</t>
  </si>
  <si>
    <t>Uttar Pradesh Code-09</t>
  </si>
  <si>
    <t>Rajasthan Code-08</t>
  </si>
  <si>
    <t>Delhi Code-07</t>
  </si>
  <si>
    <t>Haryana Code-06</t>
  </si>
  <si>
    <t>Uttarkhand Code-05</t>
  </si>
  <si>
    <t>Other / Mep</t>
  </si>
  <si>
    <t xml:space="preserve"> KM @ 8 Car / 4 Bike/Auto</t>
  </si>
  <si>
    <t>FOT</t>
  </si>
  <si>
    <t>ACCOUNT CODE</t>
  </si>
  <si>
    <t>HQ LOC</t>
  </si>
  <si>
    <t>SEC-14</t>
  </si>
  <si>
    <t>Mansarover Garden to sector 14 RTA(TO and FRO)</t>
  </si>
  <si>
    <t>Mansarover Garden to Jwalaheri(OJT)</t>
  </si>
  <si>
    <t>Mansarover Garden to nirman vihar(OJT)</t>
  </si>
  <si>
    <t>Mansarover Garden to Ambience mall</t>
  </si>
  <si>
    <t>Gaurang Aggarwal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</si>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</sst>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_(* #,##0.00_);_(* \(#,##0.00\);_(* &quot;-&quot;??_);_(@_)"/>
    <numFmt numFmtId="165" formatCode="_(* #,##0_);_(* \(#,##0\);_(* &quot;-&quot;??_);_(@_)"/>
  </numFmts>
  <fonts count="10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20"/>
      <color rgb="FFFF0000"/>
      <name val="Arial"/>
      <family val="2"/>
    </font>
    <font>
      <b/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1">
    <xf numFmtId="0" fontId="0" fillId="0" borderId="0" xfId="0"/>
    <xf numFmtId="0" fontId="3" fillId="0" borderId="0" xfId="0" applyFont="1" applyAlignment="1" applyProtection="1">
      <alignment vertical="center"/>
    </xf>
    <xf numFmtId="0" fontId="0" fillId="0" borderId="0" xfId="0" applyProtection="1"/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vertical="center"/>
    </xf>
    <xf numFmtId="165" fontId="0" fillId="0" borderId="1" xfId="1" applyNumberFormat="1" applyFont="1" applyBorder="1" applyAlignment="1" applyProtection="1">
      <alignment horizontal="center" vertical="center"/>
    </xf>
    <xf numFmtId="0" fontId="0" fillId="3" borderId="0" xfId="0" applyFill="1"/>
    <xf numFmtId="0" fontId="2" fillId="0" borderId="0" xfId="0" applyFont="1" applyFill="1"/>
    <xf numFmtId="0" fontId="0" fillId="0" borderId="0" xfId="0" applyFill="1"/>
    <xf numFmtId="0" fontId="6" fillId="0" borderId="0" xfId="0" applyFont="1" applyProtection="1"/>
    <xf numFmtId="0" fontId="4" fillId="0" borderId="0" xfId="0" applyFont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0" fontId="4" fillId="4" borderId="1" xfId="0" applyFont="1" applyFill="1" applyBorder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2" fillId="0" borderId="1" xfId="0" applyNumberFormat="1" applyFont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0" fillId="0" borderId="1" xfId="1" applyNumberFormat="1" applyFont="1" applyBorder="1" applyAlignment="1" applyProtection="1">
      <alignment horizontal="center" vertical="center"/>
      <protection locked="0"/>
    </xf>
    <xf numFmtId="165" fontId="0" fillId="0" borderId="1" xfId="1" applyNumberFormat="1" applyFont="1" applyBorder="1" applyAlignment="1" applyProtection="1">
      <alignment horizontal="center" vertical="center"/>
      <protection locked="0"/>
    </xf>
    <xf numFmtId="165" fontId="0" fillId="0" borderId="1" xfId="1" applyNumberFormat="1" applyFont="1" applyBorder="1" applyAlignment="1" applyProtection="1">
      <alignment vertical="center"/>
      <protection locked="0"/>
    </xf>
    <xf numFmtId="165" fontId="2" fillId="0" borderId="1" xfId="1" applyNumberFormat="1" applyFont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0" fillId="0" borderId="1" xfId="0" applyBorder="1" applyAlignment="1" applyProtection="1">
      <alignment vertical="center"/>
      <protection locked="0"/>
    </xf>
    <xf numFmtId="165" fontId="3" fillId="2" borderId="3" xfId="1" applyNumberFormat="1" applyFont="1" applyFill="1" applyBorder="1" applyAlignment="1" applyProtection="1">
      <alignment horizontal="center" vertical="center"/>
    </xf>
    <xf numFmtId="165" fontId="3" fillId="2" borderId="1" xfId="1" applyNumberFormat="1" applyFont="1" applyFill="1" applyBorder="1" applyAlignment="1" applyProtection="1">
      <alignment horizontal="center" vertical="center"/>
    </xf>
    <xf numFmtId="165" fontId="3" fillId="2" borderId="1" xfId="1" applyNumberFormat="1" applyFont="1" applyFill="1" applyBorder="1" applyAlignment="1" applyProtection="1">
      <alignment vertical="center"/>
    </xf>
    <xf numFmtId="164" fontId="3" fillId="2" borderId="1" xfId="1" applyFont="1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left" vertical="center"/>
    </xf>
    <xf numFmtId="0" fontId="4" fillId="4" borderId="1" xfId="0" quotePrefix="1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5" fontId="0" fillId="0" borderId="1" xfId="1" applyNumberFormat="1" applyFont="1" applyBorder="1" applyAlignment="1" applyProtection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" xfId="0" applyBorder="1" applyProtection="1"/>
    <xf numFmtId="0" fontId="5" fillId="2" borderId="1" xfId="0" applyFont="1" applyFill="1" applyBorder="1" applyAlignment="1" applyProtection="1">
      <alignment horizontal="center" vertical="center" wrapText="1"/>
      <protection hidden="1"/>
    </xf>
    <xf numFmtId="0" fontId="5" fillId="2" borderId="1" xfId="0" applyFont="1" applyFill="1" applyBorder="1" applyAlignment="1" applyProtection="1">
      <alignment horizontal="left" vertical="center" wrapText="1"/>
      <protection hidden="1"/>
    </xf>
    <xf numFmtId="0" fontId="5" fillId="0" borderId="0" xfId="0" applyFont="1" applyProtection="1">
      <protection hidden="1"/>
    </xf>
    <xf numFmtId="165" fontId="0" fillId="0" borderId="1" xfId="1" quotePrefix="1" applyNumberFormat="1" applyFont="1" applyBorder="1" applyAlignment="1" applyProtection="1">
      <alignment vertical="center"/>
      <protection locked="0"/>
    </xf>
    <xf numFmtId="0" fontId="7" fillId="6" borderId="5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5" fillId="2" borderId="5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vertical="center"/>
    </xf>
    <xf numFmtId="43" fontId="6" fillId="0" borderId="1" xfId="0" applyNumberFormat="1" applyFont="1" applyBorder="1" applyAlignment="1" applyProtection="1">
      <alignment vertical="center"/>
    </xf>
    <xf numFmtId="43" fontId="4" fillId="0" borderId="1" xfId="0" applyNumberFormat="1" applyFont="1" applyBorder="1" applyAlignment="1" applyProtection="1">
      <alignment vertical="center"/>
    </xf>
    <xf numFmtId="0" fontId="6" fillId="0" borderId="1" xfId="0" applyFont="1" applyBorder="1" applyAlignment="1" applyProtection="1">
      <alignment vertical="center"/>
    </xf>
    <xf numFmtId="0" fontId="3" fillId="0" borderId="1" xfId="0" applyFont="1" applyBorder="1" applyAlignment="1" applyProtection="1">
      <alignment vertical="center"/>
    </xf>
    <xf numFmtId="165" fontId="9" fillId="0" borderId="0" xfId="1" applyNumberFormat="1" applyFont="1" applyAlignment="1" applyProtection="1">
      <alignment vertical="center"/>
    </xf>
    <xf numFmtId="43" fontId="4" fillId="0" borderId="0" xfId="0" applyNumberFormat="1" applyFont="1" applyAlignment="1" applyProtection="1">
      <alignment horizontal="left" vertical="center"/>
    </xf>
    <xf numFmtId="164" fontId="6" fillId="0" borderId="1" xfId="1" applyFont="1" applyBorder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 indent="6"/>
    </xf>
    <xf numFmtId="0" fontId="4" fillId="0" borderId="0" xfId="0" applyFont="1" applyAlignment="1" applyProtection="1">
      <alignment horizontal="left" vertical="center" indent="3"/>
    </xf>
    <xf numFmtId="0" fontId="4" fillId="5" borderId="2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14" fontId="1" fillId="0" borderId="1" xfId="0" applyNumberFormat="1" applyFon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vertical="center"/>
      <protection locked="0"/>
    </xf>
    <xf numFmtId="165" fontId="1" fillId="0" borderId="1" xfId="1" applyNumberFormat="1" applyFont="1" applyBorder="1" applyAlignment="1" applyProtection="1">
      <alignment vertical="center"/>
      <protection locked="0"/>
    </xf>
    <xf numFmtId="0" fontId="4" fillId="5" borderId="2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4" fillId="5" borderId="6" xfId="0" applyFont="1" applyFill="1" applyBorder="1" applyAlignment="1" applyProtection="1">
      <alignment horizontal="left" vertical="center"/>
      <protection locked="0"/>
    </xf>
    <xf numFmtId="0" fontId="4" fillId="5" borderId="7" xfId="0" applyFont="1" applyFill="1" applyBorder="1" applyAlignment="1" applyProtection="1">
      <alignment horizontal="left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7" fillId="7" borderId="5" xfId="0" applyFont="1" applyFill="1" applyBorder="1" applyAlignment="1" applyProtection="1">
      <alignment horizontal="center" vertical="center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3" xfId="0" applyFont="1" applyFill="1" applyBorder="1" applyAlignment="1" applyProtection="1">
      <alignment horizontal="center" vertical="center"/>
    </xf>
    <xf numFmtId="0" fontId="7" fillId="8" borderId="5" xfId="0" applyFont="1" applyFill="1" applyBorder="1" applyAlignment="1" applyProtection="1">
      <alignment horizontal="center" vertical="center"/>
    </xf>
    <xf numFmtId="0" fontId="7" fillId="8" borderId="4" xfId="0" applyFont="1" applyFill="1" applyBorder="1" applyAlignment="1" applyProtection="1">
      <alignment horizontal="center" vertical="center"/>
    </xf>
    <xf numFmtId="0" fontId="7" fillId="8" borderId="3" xfId="0" applyFont="1" applyFill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4" fillId="5" borderId="6" xfId="0" applyFont="1" applyFill="1" applyBorder="1" applyAlignment="1" applyProtection="1">
      <alignment horizontal="left" vertical="center"/>
      <protection locked="0"/>
    </xf>
    <xf numFmtId="0" fontId="4" fillId="5" borderId="7" xfId="0" applyFont="1" applyFill="1" applyBorder="1" applyAlignment="1" applyProtection="1">
      <alignment horizontal="left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7" fillId="7" borderId="5" xfId="0" applyFont="1" applyFill="1" applyBorder="1" applyAlignment="1" applyProtection="1">
      <alignment horizontal="center" vertical="center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3" xfId="0" applyFont="1" applyFill="1" applyBorder="1" applyAlignment="1" applyProtection="1">
      <alignment horizontal="center" vertical="center"/>
    </xf>
    <xf numFmtId="0" fontId="7" fillId="8" borderId="5" xfId="0" applyFont="1" applyFill="1" applyBorder="1" applyAlignment="1" applyProtection="1">
      <alignment horizontal="center" vertical="center"/>
    </xf>
    <xf numFmtId="0" fontId="7" fillId="8" borderId="4" xfId="0" applyFont="1" applyFill="1" applyBorder="1" applyAlignment="1" applyProtection="1">
      <alignment horizontal="center" vertical="center"/>
    </xf>
    <xf numFmtId="0" fontId="7" fillId="8" borderId="3" xfId="0" applyFont="1" applyFill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revisionHeaders" Target="revisions/revisionHeaders.xml"/><Relationship Id="rId4" Type="http://schemas.openxmlformats.org/officeDocument/2006/relationships/theme" Target="theme/theme1.xml"/><Relationship Id="rId9" Type="http://schemas.openxmlformats.org/officeDocument/2006/relationships/usernames" Target="revisions/userNames.xml"/></Relationships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8EA63E40-CE43-47E6-883B-A99AA61EFE20}" diskRevisions="1" revisionId="240" version="2">
  <header guid="{8EA63E40-CE43-47E6-883B-A99AA61EFE20}" dateTime="2019-07-11T12:15:37" maxSheetId="4" userName="GAURAV AGGARWAL" r:id="rId3" minRId="6" maxRId="235">
    <sheetIdMap count="3">
      <sheetId val="1"/>
      <sheetId val="3"/>
      <sheetId val="2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" sId="1">
    <nc r="C5" t="inlineStr">
      <is>
        <t>Mansarover Garden to sector 14 RTA(TO and FRO)</t>
      </is>
    </nc>
  </rcc>
  <rcc rId="7" sId="1" numFmtId="19">
    <nc r="B6">
      <v>43640</v>
    </nc>
  </rcc>
  <rcc rId="8" sId="1" numFmtId="19">
    <nc r="B7">
      <v>43641</v>
    </nc>
  </rcc>
  <rcc rId="9" sId="1" numFmtId="19">
    <nc r="B8">
      <v>43642</v>
    </nc>
  </rcc>
  <rcc rId="10" sId="1" numFmtId="19">
    <nc r="B9">
      <v>43643</v>
    </nc>
  </rcc>
  <rcc rId="11" sId="1" numFmtId="19">
    <nc r="B10">
      <v>43644</v>
    </nc>
  </rcc>
  <rcc rId="12" sId="1">
    <nc r="C10" t="inlineStr">
      <is>
        <t>Mansarover Garden to Jwalaheri</t>
      </is>
    </nc>
  </rcc>
  <rcc rId="13" sId="1">
    <nc r="C10" t="inlineStr">
      <is>
        <t>Mansarover Garden to Jwalaheri(OJT)</t>
      </is>
    </nc>
  </rcc>
  <rcc rId="14" sId="1" numFmtId="19">
    <nc r="B11">
      <v>43645</v>
    </nc>
  </rcc>
  <rm rId="15" sheetId="1" source="C10" destination="C11" sourceSheetId="1">
    <rfmt sheetId="1" sqref="C11" start="0" length="0">
      <dxf>
        <font>
          <sz val="10"/>
          <color auto="1"/>
          <name val="Arial"/>
          <scheme val="none"/>
        </font>
        <alignment vertical="center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0"/>
      </dxf>
    </rfmt>
  </rm>
  <rcc rId="16" sId="1" odxf="1" dxf="1">
    <nc r="C10" t="inlineStr">
      <is>
        <t>Mansarover Garden to Jwalaheri(OJT)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10"/>
        <color auto="1"/>
        <name val="Arial"/>
        <scheme val="none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7" sId="1" numFmtId="19">
    <nc r="B12">
      <v>43647</v>
    </nc>
  </rcc>
  <rcc rId="18" sId="1" numFmtId="19">
    <nc r="B13">
      <v>43648</v>
    </nc>
  </rcc>
  <rcc rId="19" sId="1">
    <nc r="C13" t="inlineStr">
      <is>
        <t>Mansarover Garden to Jwalaheri(OJT)</t>
      </is>
    </nc>
  </rcc>
  <rcc rId="20" sId="1">
    <nc r="C13" t="inlineStr">
      <is>
        <t>Mansarover Garden to nirman vihar(OJT)</t>
      </is>
    </nc>
  </rcc>
  <rcc rId="21" sId="1" numFmtId="19">
    <nc r="B14">
      <v>43649</v>
    </nc>
  </rcc>
  <rcc rId="22" sId="1" numFmtId="19">
    <nc r="B15">
      <v>43650</v>
    </nc>
  </rcc>
  <rcc rId="23" sId="1" numFmtId="19">
    <nc r="B16">
      <v>43651</v>
    </nc>
  </rcc>
  <rcc rId="24" sId="1" numFmtId="19">
    <nc r="B17">
      <v>43652</v>
    </nc>
  </rcc>
  <rcc rId="25" sId="1" odxf="1" dxf="1">
    <nc r="C17" t="inlineStr">
      <is>
        <t>Mansarover Garden to Ambience mall</t>
      </is>
    </nc>
    <odxf>
      <font/>
    </odxf>
    <ndxf>
      <font/>
    </ndxf>
  </rcc>
  <rcc rId="26" sId="1" numFmtId="19">
    <nc r="B18">
      <v>43654</v>
    </nc>
  </rcc>
  <rcc rId="27" sId="1" numFmtId="19">
    <nc r="B19">
      <v>43655</v>
    </nc>
  </rcc>
  <rcc rId="28" sId="1" numFmtId="19">
    <nc r="B20">
      <v>43656</v>
    </nc>
  </rcc>
  <rcc rId="29" sId="1">
    <nc r="B2" t="inlineStr">
      <is>
        <t>Gaurang Aggarwal</t>
      </is>
    </nc>
  </rcc>
  <rcc rId="30" sId="1">
    <nc r="E6">
      <v>200</v>
    </nc>
  </rcc>
  <rcc rId="31" sId="1">
    <nc r="E7">
      <v>200</v>
    </nc>
  </rcc>
  <rcc rId="32" sId="1">
    <nc r="E8">
      <v>200</v>
    </nc>
  </rcc>
  <rcc rId="33" sId="1">
    <nc r="E9">
      <v>200</v>
    </nc>
  </rcc>
  <rcc rId="34" sId="1">
    <nc r="E10">
      <v>100</v>
    </nc>
  </rcc>
  <rcc rId="35" sId="1">
    <nc r="E11">
      <v>100</v>
    </nc>
  </rcc>
  <rcc rId="36" sId="1">
    <nc r="E13">
      <v>120</v>
    </nc>
  </rcc>
  <rcc rId="37" sId="1">
    <nc r="E14">
      <v>200</v>
    </nc>
  </rcc>
  <rcc rId="38" sId="1">
    <nc r="E15">
      <v>200</v>
    </nc>
  </rcc>
  <rcc rId="39" sId="1">
    <nc r="E16">
      <v>200</v>
    </nc>
  </rcc>
  <rcc rId="40" sId="1">
    <nc r="E17">
      <v>200</v>
    </nc>
  </rcc>
  <rcc rId="41" sId="1">
    <nc r="E18">
      <v>200</v>
    </nc>
  </rcc>
  <rcc rId="42" sId="1">
    <nc r="E19">
      <v>200</v>
    </nc>
  </rcc>
  <rcc rId="43" sId="1">
    <nc r="E20">
      <v>200</v>
    </nc>
  </rcc>
  <rcc rId="44" sId="1" numFmtId="34">
    <nc r="F10">
      <v>60</v>
    </nc>
  </rcc>
  <rcc rId="45" sId="1" numFmtId="34">
    <nc r="F11">
      <v>60</v>
    </nc>
  </rcc>
  <rcc rId="46" sId="1" numFmtId="34">
    <nc r="F13">
      <v>60</v>
    </nc>
  </rcc>
  <rcc rId="47" sId="1" numFmtId="34">
    <nc r="F17">
      <v>60</v>
    </nc>
  </rcc>
  <rcc rId="48" sId="1" numFmtId="34">
    <nc r="F18">
      <v>60</v>
    </nc>
  </rcc>
  <rcc rId="49" sId="1" numFmtId="34">
    <nc r="F19">
      <v>60</v>
    </nc>
  </rcc>
  <rcc rId="50" sId="1" numFmtId="34">
    <nc r="F20">
      <v>60</v>
    </nc>
  </rcc>
  <ris rId="51" sheetId="3" name="[Proof of Travel Expense Current.xlsm]Sheet1" sheetPosition="1"/>
  <rcc rId="52" sId="3" odxf="1" dxf="1">
    <nc r="A1" t="inlineStr">
      <is>
        <t xml:space="preserve">Proof of Travel Expense </t>
      </is>
    </nc>
    <odxf>
      <font>
        <b val="0"/>
        <sz val="10"/>
        <color auto="1"/>
        <name val="Arial"/>
        <scheme val="none"/>
      </font>
      <alignment vertical="bottom" readingOrder="0"/>
    </odxf>
    <ndxf>
      <font>
        <b/>
        <sz val="9"/>
        <color auto="1"/>
        <name val="Arial"/>
        <scheme val="none"/>
      </font>
      <alignment vertical="center" readingOrder="0"/>
    </ndxf>
  </rcc>
  <rfmt sheetId="3" sqref="B1" start="0" length="0">
    <dxf>
      <font>
        <sz val="9"/>
        <color auto="1"/>
        <name val="Arial"/>
        <scheme val="none"/>
      </font>
    </dxf>
  </rfmt>
  <rfmt sheetId="3" sqref="C1" start="0" length="0">
    <dxf>
      <font>
        <sz val="9"/>
        <color auto="1"/>
        <name val="Arial"/>
        <scheme val="none"/>
      </font>
    </dxf>
  </rfmt>
  <rfmt sheetId="3" sqref="D1" start="0" length="0">
    <dxf>
      <font>
        <sz val="9"/>
        <color auto="1"/>
        <name val="Arial"/>
        <scheme val="none"/>
      </font>
    </dxf>
  </rfmt>
  <rfmt sheetId="3" sqref="E1" start="0" length="0">
    <dxf>
      <font>
        <sz val="9"/>
        <color auto="1"/>
        <name val="Arial"/>
        <scheme val="none"/>
      </font>
    </dxf>
  </rfmt>
  <rfmt sheetId="3" sqref="F1" start="0" length="0">
    <dxf>
      <font>
        <sz val="9"/>
        <color auto="1"/>
        <name val="Arial"/>
        <scheme val="none"/>
      </font>
    </dxf>
  </rfmt>
  <rfmt sheetId="3" sqref="G1" start="0" length="0">
    <dxf>
      <font>
        <sz val="9"/>
        <color auto="1"/>
        <name val="Arial"/>
        <scheme val="none"/>
      </font>
    </dxf>
  </rfmt>
  <rcc rId="53" sId="3" odxf="1" dxf="1">
    <nc r="H1" t="inlineStr">
      <is>
        <t>Garde</t>
      </is>
    </nc>
    <odxf>
      <font>
        <b val="0"/>
        <sz val="10"/>
        <color auto="1"/>
        <name val="Arial"/>
        <scheme val="none"/>
      </font>
      <alignment vertical="bottom" readingOrder="0"/>
      <border outline="0">
        <left/>
        <right/>
        <top/>
        <bottom/>
      </border>
    </odxf>
    <ndxf>
      <font>
        <b/>
        <sz val="9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I1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J1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54" sId="3" odxf="1" dxf="1">
    <nc r="K1" t="inlineStr">
      <is>
        <t>Department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vertical="bottom" readingOrder="0"/>
      <border outline="0">
        <left/>
        <right/>
        <top/>
        <bottom/>
      </border>
    </odxf>
    <ndxf>
      <font>
        <b/>
        <sz val="9"/>
        <color auto="1"/>
        <name val="Arial"/>
        <scheme val="none"/>
      </font>
      <fill>
        <patternFill patternType="solid">
          <bgColor theme="0" tint="-4.9989318521683403E-2"/>
        </patternFill>
      </fill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5" sId="3" odxf="1" dxf="1">
    <nc r="L1" t="inlineStr">
      <is>
        <t>RNO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  <protection locked="1"/>
    </odxf>
    <n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center" vertical="center" readingOrder="0"/>
      <border outline="0">
        <left style="thin">
          <color indexed="64"/>
        </left>
        <top style="thin">
          <color indexed="64"/>
        </top>
        <bottom style="thin">
          <color indexed="64"/>
        </bottom>
      </border>
      <protection locked="0"/>
    </ndxf>
  </rcc>
  <rfmt sheetId="3" sqref="M1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center" vertical="center" readingOrder="0"/>
      <border outline="0">
        <top style="thin">
          <color indexed="64"/>
        </top>
        <bottom style="thin">
          <color indexed="64"/>
        </bottom>
      </border>
      <protection locked="0"/>
    </dxf>
  </rfmt>
  <rcc rId="56" sId="3" odxf="1" dxf="1">
    <nc r="N1" t="inlineStr">
      <is>
        <t>HQ LOC</t>
      </is>
    </nc>
    <odxf>
      <font>
        <b val="0"/>
        <sz val="10"/>
        <color auto="1"/>
        <name val="Arial"/>
        <scheme val="none"/>
      </font>
      <alignment horizontal="general" vertical="bottom" readingOrder="0"/>
      <border outline="0">
        <left/>
        <right/>
        <top/>
        <bottom/>
      </border>
    </odxf>
    <ndxf>
      <font>
        <b/>
        <sz val="9"/>
        <color auto="1"/>
        <name val="Arial"/>
        <scheme val="none"/>
      </font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7" sId="3" odxf="1" dxf="1">
    <nc r="O1" t="inlineStr">
      <is>
        <t>SEC-14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  <protection locked="1"/>
    </odxf>
    <n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cc rId="58" sId="3" odxf="1" dxf="1">
    <nc r="A2" t="inlineStr">
      <is>
        <t>Name :</t>
      </is>
    </nc>
    <odxf>
      <font>
        <b val="0"/>
        <sz val="10"/>
        <color auto="1"/>
        <name val="Arial"/>
        <scheme val="none"/>
      </font>
      <alignment vertical="bottom" readingOrder="0"/>
    </odxf>
    <ndxf>
      <font>
        <b/>
        <sz val="9"/>
        <color auto="1"/>
        <name val="Arial"/>
        <scheme val="none"/>
      </font>
      <alignment vertical="center" readingOrder="0"/>
    </ndxf>
  </rcc>
  <rcc rId="59" sId="3" odxf="1" dxf="1">
    <nc r="B2" t="inlineStr">
      <is>
        <t>Gaurang Aggarwal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readingOrder="0"/>
      <border outline="0">
        <bottom/>
      </border>
      <protection locked="1"/>
    </odxf>
    <n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left" vertical="center" readingOrder="0"/>
      <border outline="0">
        <bottom style="thin">
          <color indexed="64"/>
        </bottom>
      </border>
      <protection locked="0"/>
    </ndxf>
  </rcc>
  <rfmt sheetId="3" sqref="C2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left" vertical="center" readingOrder="0"/>
      <border outline="0">
        <bottom style="thin">
          <color indexed="64"/>
        </bottom>
      </border>
      <protection locked="0"/>
    </dxf>
  </rfmt>
  <rfmt sheetId="3" sqref="D2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left" vertical="center" readingOrder="0"/>
      <border outline="0">
        <bottom style="thin">
          <color indexed="64"/>
        </bottom>
      </border>
      <protection locked="0"/>
    </dxf>
  </rfmt>
  <rfmt sheetId="3" sqref="E2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left" vertical="center" readingOrder="0"/>
      <border outline="0">
        <bottom style="thin">
          <color indexed="64"/>
        </bottom>
      </border>
      <protection locked="0"/>
    </dxf>
  </rfmt>
  <rfmt sheetId="3" sqref="F2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left" vertical="center" readingOrder="0"/>
      <border outline="0">
        <bottom style="thin">
          <color indexed="64"/>
        </bottom>
      </border>
      <protection locked="0"/>
    </dxf>
  </rfmt>
  <rfmt sheetId="3" sqref="G2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left" vertical="center" readingOrder="0"/>
      <border outline="0">
        <right style="thin">
          <color indexed="64"/>
        </right>
        <bottom style="thin">
          <color indexed="64"/>
        </bottom>
      </border>
      <protection locked="0"/>
    </dxf>
  </rfmt>
  <rcc rId="60" sId="3" odxf="1" dxf="1">
    <nc r="H2" t="inlineStr">
      <is>
        <t>Emp. Code :</t>
      </is>
    </nc>
    <odxf>
      <font>
        <b val="0"/>
        <sz val="10"/>
        <color auto="1"/>
        <name val="Arial"/>
        <scheme val="none"/>
      </font>
      <alignment vertical="bottom" readingOrder="0"/>
      <border outline="0">
        <left/>
        <right/>
        <top/>
      </border>
    </odxf>
    <ndxf>
      <font>
        <b/>
        <sz val="9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</border>
    </ndxf>
  </rcc>
  <rfmt sheetId="3" sqref="I2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</border>
      <protection locked="0"/>
    </dxf>
  </rfmt>
  <rfmt sheetId="3" sqref="J2" start="0" length="0">
    <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</border>
      <protection locked="0"/>
    </dxf>
  </rfmt>
  <rcc rId="61" sId="3" odxf="1" dxf="1">
    <nc r="K2" t="inlineStr">
      <is>
        <t>Concept Name</t>
      </is>
    </nc>
    <odxf>
      <font>
        <b val="0"/>
        <sz val="10"/>
        <color auto="1"/>
        <name val="Arial"/>
        <scheme val="none"/>
      </font>
      <alignment horizontal="general" vertical="bottom" readingOrder="0"/>
      <border outline="0">
        <left/>
        <top/>
        <bottom/>
      </border>
    </odxf>
    <ndxf>
      <font>
        <b/>
        <sz val="9"/>
        <color auto="1"/>
        <name val="Arial"/>
        <scheme val="none"/>
      </font>
      <alignment horizontal="center" vertical="center" readingOrder="0"/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ndxf>
  </rcc>
  <rfmt sheetId="3" sqref="L2" start="0" length="0">
    <dxf>
      <font>
        <b/>
        <sz val="9"/>
        <color auto="1"/>
        <name val="Arial"/>
        <scheme val="none"/>
      </font>
      <alignment horizontal="center" vertical="center" readingOrder="0"/>
      <border outline="0">
        <top style="thin">
          <color indexed="64"/>
        </top>
        <bottom style="thin">
          <color indexed="64"/>
        </bottom>
      </border>
    </dxf>
  </rfmt>
  <rcc rId="62" sId="3" odxf="1" dxf="1">
    <nc r="M2" t="inlineStr">
      <is>
        <t>RNO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</border>
      <protection locked="1"/>
    </odxf>
    <ndxf>
      <font>
        <b/>
        <sz val="9"/>
        <color auto="1"/>
        <name val="Arial"/>
        <scheme val="none"/>
      </font>
      <fill>
        <patternFill patternType="solid">
          <bgColor theme="9" tint="0.39997558519241921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</border>
      <protection locked="0"/>
    </ndxf>
  </rcc>
  <rcc rId="63" sId="3" odxf="1" dxf="1">
    <nc r="N2" t="inlineStr">
      <is>
        <t>Concept No.</t>
      </is>
    </nc>
    <odxf>
      <font>
        <b val="0"/>
        <sz val="10"/>
        <color auto="1"/>
        <name val="Arial"/>
        <scheme val="none"/>
      </font>
      <alignment vertical="bottom" readingOrder="0"/>
      <border outline="0">
        <left/>
        <right/>
        <top/>
      </border>
    </odxf>
    <ndxf>
      <font>
        <b/>
        <sz val="9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</border>
    </ndxf>
  </rcc>
  <rcc rId="64" sId="3" odxf="1" dxf="1">
    <nc r="O2">
      <f>VLOOKUP(M2,R5:S11,2,0)</f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top/>
        <bottom/>
      </border>
    </odxf>
    <ndxf>
      <font>
        <b/>
        <sz val="9"/>
        <color auto="1"/>
        <name val="Arial"/>
        <scheme val="none"/>
      </font>
      <fill>
        <patternFill patternType="solid">
          <bgColor theme="0" tint="-4.9989318521683403E-2"/>
        </patternFill>
      </fill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A3" start="0" length="0">
    <dxf>
      <font>
        <b/>
        <sz val="8"/>
        <color auto="1"/>
        <name val="Arial"/>
        <scheme val="none"/>
      </font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qref="B3" start="0" length="0">
    <dxf>
      <font>
        <b/>
        <sz val="8"/>
        <color auto="1"/>
        <name val="Arial"/>
        <scheme val="none"/>
      </font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qref="C3" start="0" length="0">
    <dxf>
      <font>
        <b/>
        <sz val="8"/>
        <color auto="1"/>
        <name val="Arial"/>
        <scheme val="none"/>
      </font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65" sId="3" odxf="1" dxf="1">
    <nc r="D3" t="inlineStr">
      <is>
        <t>LOCAL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8"/>
        <color theme="0"/>
        <name val="Arial"/>
        <scheme val="none"/>
      </font>
      <fill>
        <patternFill patternType="solid">
          <bgColor theme="8" tint="-0.499984740745262"/>
        </patternFill>
      </fill>
      <alignment horizontal="center" vertical="center" readingOrder="0"/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ndxf>
  </rcc>
  <rfmt sheetId="3" sqref="E3" start="0" length="0">
    <dxf>
      <font>
        <b/>
        <sz val="8"/>
        <color theme="0"/>
        <name val="Arial"/>
        <scheme val="none"/>
      </font>
      <fill>
        <patternFill patternType="solid">
          <bgColor theme="8" tint="-0.499984740745262"/>
        </patternFill>
      </fill>
      <alignment horizontal="center" vertical="center" readingOrder="0"/>
      <border outline="0">
        <top style="thin">
          <color indexed="64"/>
        </top>
        <bottom style="thin">
          <color indexed="64"/>
        </bottom>
      </border>
    </dxf>
  </rfmt>
  <rfmt sheetId="3" sqref="F3" start="0" length="0">
    <dxf>
      <font>
        <b/>
        <sz val="8"/>
        <color theme="0"/>
        <name val="Arial"/>
        <scheme val="none"/>
      </font>
      <fill>
        <patternFill patternType="solid">
          <bgColor theme="8" tint="-0.499984740745262"/>
        </patternFill>
      </fill>
      <alignment horizontal="center" vertical="center" readingOrder="0"/>
      <border outline="0">
        <top style="thin">
          <color indexed="64"/>
        </top>
        <bottom style="thin">
          <color indexed="64"/>
        </bottom>
      </border>
    </dxf>
  </rfmt>
  <rfmt sheetId="3" sqref="G3" start="0" length="0">
    <dxf>
      <font>
        <b/>
        <sz val="8"/>
        <color theme="0"/>
        <name val="Arial"/>
        <scheme val="none"/>
      </font>
      <fill>
        <patternFill patternType="solid">
          <bgColor theme="8" tint="-0.499984740745262"/>
        </patternFill>
      </fill>
      <alignment horizontal="center" vertical="center" readingOrder="0"/>
      <border outline="0">
        <top style="thin">
          <color indexed="64"/>
        </top>
        <bottom style="thin">
          <color indexed="64"/>
        </bottom>
      </border>
    </dxf>
  </rfmt>
  <rfmt sheetId="3" sqref="H3" start="0" length="0">
    <dxf>
      <font>
        <b/>
        <sz val="8"/>
        <color theme="0"/>
        <name val="Arial"/>
        <scheme val="none"/>
      </font>
      <fill>
        <patternFill patternType="solid">
          <bgColor theme="8" tint="-0.499984740745262"/>
        </patternFill>
      </fill>
      <alignment horizontal="center" vertical="center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rfmt>
  <rcc rId="66" sId="3" odxf="1" dxf="1">
    <nc r="I3" t="inlineStr">
      <is>
        <t>OUT - STATION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readingOrder="0"/>
      <border outline="0">
        <left/>
        <top/>
        <bottom/>
      </border>
    </odxf>
    <ndxf>
      <font>
        <b/>
        <sz val="8"/>
        <color theme="0"/>
        <name val="Arial"/>
        <scheme val="none"/>
      </font>
      <fill>
        <patternFill patternType="solid">
          <bgColor rgb="FF00B0F0"/>
        </patternFill>
      </fill>
      <alignment horizontal="center" vertical="center" readingOrder="0"/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ndxf>
  </rcc>
  <rfmt sheetId="3" sqref="J3" start="0" length="0">
    <dxf>
      <font>
        <b/>
        <sz val="8"/>
        <color theme="0"/>
        <name val="Arial"/>
        <scheme val="none"/>
      </font>
      <fill>
        <patternFill patternType="solid">
          <bgColor rgb="FF00B0F0"/>
        </patternFill>
      </fill>
      <alignment horizontal="center" vertical="center" readingOrder="0"/>
      <border outline="0">
        <top style="thin">
          <color indexed="64"/>
        </top>
        <bottom style="thin">
          <color indexed="64"/>
        </bottom>
      </border>
    </dxf>
  </rfmt>
  <rfmt sheetId="3" sqref="K3" start="0" length="0">
    <dxf>
      <font>
        <b/>
        <sz val="8"/>
        <color theme="0"/>
        <name val="Arial"/>
        <scheme val="none"/>
      </font>
      <fill>
        <patternFill patternType="solid">
          <bgColor rgb="FF00B0F0"/>
        </patternFill>
      </fill>
      <alignment horizontal="center" vertical="center" readingOrder="0"/>
      <border outline="0">
        <top style="thin">
          <color indexed="64"/>
        </top>
        <bottom style="thin">
          <color indexed="64"/>
        </bottom>
      </border>
    </dxf>
  </rfmt>
  <rfmt sheetId="3" sqref="L3" start="0" length="0">
    <dxf>
      <font>
        <b/>
        <sz val="8"/>
        <color theme="0"/>
        <name val="Arial"/>
        <scheme val="none"/>
      </font>
      <fill>
        <patternFill patternType="solid">
          <bgColor rgb="FF00B0F0"/>
        </patternFill>
      </fill>
      <alignment horizontal="center" vertical="center" readingOrder="0"/>
      <border outline="0">
        <top style="thin">
          <color indexed="64"/>
        </top>
        <bottom style="thin">
          <color indexed="64"/>
        </bottom>
      </border>
    </dxf>
  </rfmt>
  <rfmt sheetId="3" sqref="M3" start="0" length="0">
    <dxf>
      <font>
        <b/>
        <sz val="8"/>
        <color theme="0"/>
        <name val="Arial"/>
        <scheme val="none"/>
      </font>
      <fill>
        <patternFill patternType="solid">
          <bgColor rgb="FF00B0F0"/>
        </patternFill>
      </fill>
      <alignment horizontal="center" vertical="center" readingOrder="0"/>
      <border outline="0">
        <top style="thin">
          <color indexed="64"/>
        </top>
        <bottom style="thin">
          <color indexed="64"/>
        </bottom>
      </border>
    </dxf>
  </rfmt>
  <rfmt sheetId="3" sqref="N3" start="0" length="0">
    <dxf>
      <font>
        <b/>
        <sz val="8"/>
        <color theme="0"/>
        <name val="Arial"/>
        <scheme val="none"/>
      </font>
      <fill>
        <patternFill patternType="solid">
          <bgColor rgb="FF00B0F0"/>
        </patternFill>
      </fill>
      <alignment horizontal="center" vertical="center" readingOrder="0"/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qref="O3" start="0" length="0">
    <dxf>
      <font>
        <b/>
        <sz val="8"/>
        <color theme="0"/>
        <name val="Arial"/>
        <scheme val="none"/>
      </font>
      <fill>
        <patternFill patternType="solid">
          <bgColor rgb="FF7030A0"/>
        </patternFill>
      </fill>
      <alignment horizontal="center" vertical="center" readingOrder="0"/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</rfmt>
  <rcc rId="67" sId="3" odxf="1" dxf="1">
    <nc r="A4" t="inlineStr">
      <is>
        <t>Sr No.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68" sId="3" odxf="1" dxf="1">
    <nc r="B4" t="inlineStr">
      <is>
        <t>Date                 DD-MM-YYYY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69" sId="3" odxf="1" dxf="1">
    <nc r="C4" t="inlineStr">
      <is>
        <t>Description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left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0" sId="3" odxf="1" dxf="1">
    <nc r="D4" t="inlineStr">
      <is>
        <t>KM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1" sId="3" odxf="1" dxf="1">
    <nc r="E4" t="inlineStr">
      <is>
        <t xml:space="preserve"> KM @ 8 Car / 4 Bike/Auto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2" sId="3" odxf="1" dxf="1">
    <nc r="F4" t="inlineStr">
      <is>
        <t xml:space="preserve">Snacks/Food 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3" sId="3" odxf="1" dxf="1">
    <nc r="G4" t="inlineStr">
      <is>
        <t>DA / Parking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4" sId="3" odxf="1" dxf="1">
    <nc r="H4" t="inlineStr">
      <is>
        <t>Total Local Expenses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5" sId="3" odxf="1" dxf="1">
    <nc r="I4" t="inlineStr">
      <is>
        <t>Air Fare  / Train Fare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6" sId="3" odxf="1" dxf="1">
    <nc r="J4" t="inlineStr">
      <is>
        <t>Hotel Bill                (Only Stay)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7" sId="3" odxf="1" dxf="1">
    <nc r="K4" t="inlineStr">
      <is>
        <t>Snacks / Food bill (Lunch / Dinner )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8" sId="3" odxf="1" dxf="1">
    <nc r="L4" t="inlineStr">
      <is>
        <t>Conveyence         ( Bus / Auto / Taxi) Parking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79" sId="3" odxf="1" dxf="1">
    <nc r="M4" t="inlineStr">
      <is>
        <t>Other / Mep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80" sId="3" odxf="1" dxf="1">
    <nc r="N4" t="inlineStr">
      <is>
        <t xml:space="preserve">Total Amout          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righ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1"/>
    </ndxf>
  </rcc>
  <rcc rId="81" sId="3" odxf="1" dxf="1">
    <nc r="O4" t="inlineStr">
      <is>
        <t>Remark</t>
      </is>
    </nc>
    <odxf>
      <font>
        <b val="0"/>
        <sz val="10"/>
        <color auto="1"/>
        <name val="Arial"/>
        <scheme val="none"/>
      </font>
      <fill>
        <patternFill patternType="none">
          <bgColor indexed="65"/>
        </patternFill>
      </fill>
      <alignment horizontal="general" vertical="bottom" wrapText="0" readingOrder="0"/>
      <border outline="0">
        <left/>
        <top/>
        <bottom/>
      </border>
      <protection hidden="0"/>
    </odxf>
    <ndxf>
      <font>
        <b/>
        <sz val="8"/>
        <color auto="1"/>
        <name val="Arial"/>
        <scheme val="none"/>
      </font>
      <fill>
        <patternFill patternType="solid">
          <bgColor theme="0" tint="-0.249977111117893"/>
        </patternFill>
      </fill>
      <alignment horizontal="center" vertical="center" wrapText="1" readingOrder="0"/>
      <border outline="0">
        <left style="thin">
          <color indexed="64"/>
        </left>
        <top style="thin">
          <color indexed="64"/>
        </top>
        <bottom style="thin">
          <color indexed="64"/>
        </bottom>
      </border>
      <protection hidden="1"/>
    </ndxf>
  </rcc>
  <rcc rId="82" sId="3" odxf="1" dxf="1">
    <nc r="A5">
      <v>1</v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5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83" sId="3" odxf="1" dxf="1">
    <nc r="C5" t="inlineStr">
      <is>
        <t>Mansarover Garden to sector 14 RTA(TO and FRO)</t>
      </is>
    </nc>
    <odxf>
      <font>
        <sz val="10"/>
        <color auto="1"/>
        <name val="Arial"/>
        <scheme val="none"/>
      </font>
      <alignment vertical="bottom" readingOrder="0"/>
      <border outline="0">
        <left/>
        <right/>
        <top/>
        <bottom/>
      </border>
      <protection locked="1"/>
    </odxf>
    <n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qref="D5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5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5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5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84" sId="3" odxf="1" s="1" dxf="1">
    <nc r="H5">
      <f>IFERROR(((D5*E5)+F5+G5),)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5" start="0" length="0">
    <dxf>
      <font>
        <sz val="10"/>
        <color auto="1"/>
        <name val="Arial"/>
        <scheme val="none"/>
      </font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85" sId="3" odxf="1" s="1" dxf="1">
    <nc r="N5">
      <f>SUM(H5:M5)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5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86" sId="3" odxf="1" dxf="1">
    <nc r="A6">
      <f>A5+1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87" sId="3" odxf="1" dxf="1" numFmtId="19">
    <nc r="B6">
      <v>43640</v>
    </nc>
    <odxf>
      <font>
        <sz val="10"/>
        <color auto="1"/>
        <name val="Arial"/>
        <scheme val="none"/>
      </font>
      <numFmt numFmtId="0" formatCode="General"/>
      <alignment vertical="bottom" readingOrder="0"/>
      <border outline="0">
        <left/>
        <right/>
        <top/>
        <bottom/>
      </border>
      <protection locked="1"/>
    </odxf>
    <n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qref="C6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6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88" sId="3" odxf="1" s="1" dxf="1">
    <nc r="E6">
      <v>200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F6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6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6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89" sId="3" odxf="1" s="1" dxf="1">
    <nc r="N6">
      <f>SUM(H6:M6)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6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0" sId="3" odxf="1" dxf="1">
    <nc r="A7">
      <f>A6+1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7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7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7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1" sId="3" odxf="1" s="1" dxf="1">
    <nc r="E7">
      <v>200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F7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7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7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2" sId="3" odxf="1" s="1" dxf="1">
    <nc r="N7">
      <f>SUM(H7:M7)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7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3" sId="3" odxf="1" dxf="1">
    <nc r="A8">
      <f>A7+1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8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8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8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4" sId="3" odxf="1" s="1" dxf="1">
    <nc r="E8">
      <v>200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F8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8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8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5" sId="3" odxf="1" s="1" dxf="1">
    <nc r="N8">
      <f>SUM(H8:M8)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8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6" sId="3" odxf="1" dxf="1">
    <nc r="A9">
      <f>A8+1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9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9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9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9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9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9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9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7" sId="3" odxf="1" s="1" dxf="1">
    <nc r="N9">
      <f>SUM(H9:M9)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9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8" sId="3" odxf="1" dxf="1">
    <nc r="A10">
      <f>A9+1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0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99" sId="3" odxf="1" dxf="1">
    <nc r="C10" t="inlineStr">
      <is>
        <t>Mansarover Garden to Jwalaheri(OJT)</t>
      </is>
    </nc>
    <odxf>
      <font>
        <sz val="10"/>
        <color auto="1"/>
        <name val="Arial"/>
        <scheme val="none"/>
      </font>
      <alignment vertical="bottom" readingOrder="0"/>
      <border outline="0">
        <left/>
        <right/>
        <top/>
        <bottom/>
      </border>
      <protection locked="1"/>
    </odxf>
    <n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qref="D10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00" sId="3" odxf="1" s="1" dxf="1">
    <nc r="E10">
      <v>100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cc rId="101" sId="3" odxf="1" s="1" dxf="1" numFmtId="34">
    <nc r="F10">
      <v>60</v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G10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10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1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1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1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02" sId="3" odxf="1" s="1" dxf="1">
    <nc r="N10">
      <f>SUM(H10:M10)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0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03" sId="3" odxf="1" dxf="1">
    <nc r="A11">
      <f>A10+1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1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04" sId="3" odxf="1" dxf="1">
    <nc r="C11" t="inlineStr">
      <is>
        <t>Mansarover Garden to Jwalaheri(OJT)</t>
      </is>
    </nc>
    <odxf>
      <font>
        <sz val="10"/>
        <color auto="1"/>
        <name val="Arial"/>
        <scheme val="none"/>
      </font>
      <alignment vertical="bottom" readingOrder="0"/>
      <border outline="0">
        <left/>
        <right/>
        <top/>
        <bottom/>
      </border>
      <protection locked="1"/>
    </odxf>
    <n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qref="D11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05" sId="3" odxf="1" s="1" dxf="1">
    <nc r="E11">
      <v>100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cc rId="106" sId="3" odxf="1" s="1" dxf="1" numFmtId="34">
    <nc r="F11">
      <v>60</v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G11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11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1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1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1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07" sId="3" odxf="1" s="1" dxf="1">
    <nc r="N11">
      <f>SUM(H11:M11)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1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08" sId="3" odxf="1" dxf="1">
    <nc r="A12">
      <f>A11+1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2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12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12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12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12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12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09" sId="3" odxf="1" s="1" dxf="1">
    <nc r="H12">
      <f>IFERROR(((D12*E12)+F12+G12),)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1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1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1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10" sId="3" odxf="1" s="1" dxf="1">
    <nc r="N12">
      <f>SUM(H12:M12)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2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11" sId="3" odxf="1" dxf="1">
    <nc r="A13">
      <f>A12+1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3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12" sId="3" odxf="1" dxf="1">
    <nc r="C13" t="inlineStr">
      <is>
        <t>Mansarover Garden to nirman vihar(OJT)</t>
      </is>
    </nc>
    <odxf>
      <font>
        <sz val="10"/>
        <color auto="1"/>
        <name val="Arial"/>
        <scheme val="none"/>
      </font>
      <alignment vertical="bottom" readingOrder="0"/>
      <border outline="0">
        <left/>
        <right/>
        <top/>
        <bottom/>
      </border>
      <protection locked="1"/>
    </odxf>
    <n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qref="D13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13" sId="3" odxf="1" s="1" dxf="1">
    <nc r="E13">
      <v>120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cc rId="114" sId="3" odxf="1" s="1" dxf="1" numFmtId="34">
    <nc r="F13">
      <v>60</v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G13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13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1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1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1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15" sId="3" odxf="1" s="1" dxf="1">
    <nc r="N13">
      <f>SUM(H13:M13)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3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16" sId="3" odxf="1" dxf="1">
    <nc r="A14">
      <f>A13+1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4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14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14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17" sId="3" odxf="1" s="1" dxf="1">
    <nc r="E14">
      <v>200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F14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14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14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14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4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4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L14" start="0" length="0">
    <dxf>
      <alignment vertical="center" readingOrder="0"/>
      <protection locked="0"/>
    </dxf>
  </rfmt>
  <rfmt sheetId="3" s="1" sqref="M14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18" sId="3" odxf="1" s="1" dxf="1">
    <nc r="N14">
      <f>SUM(H14:M14)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4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19" sId="3" odxf="1" dxf="1">
    <nc r="A15">
      <f>A14+1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5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15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15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20" sId="3" odxf="1" s="1" dxf="1">
    <nc r="E15">
      <v>200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F15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15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15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1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1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1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21" sId="3" odxf="1" s="1" dxf="1">
    <nc r="N15">
      <f>SUM(H15:M15)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5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22" sId="3" odxf="1" dxf="1">
    <nc r="A16">
      <f>A15+1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6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16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16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23" sId="3" odxf="1" s="1" dxf="1">
    <nc r="E16">
      <v>200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F16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16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16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1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1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1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24" sId="3" odxf="1" s="1" dxf="1">
    <nc r="N16">
      <f>SUM(H16:M16)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6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25" sId="3" odxf="1" dxf="1">
    <nc r="A17">
      <f>A16+1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7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26" sId="3" odxf="1" dxf="1">
    <nc r="C17" t="inlineStr">
      <is>
        <t>Mansarover Garden to Ambience mall</t>
      </is>
    </nc>
    <odxf>
      <font>
        <sz val="10"/>
        <color auto="1"/>
        <name val="Arial"/>
        <scheme val="none"/>
      </font>
      <alignment vertical="bottom" readingOrder="0"/>
      <border outline="0">
        <left/>
        <right/>
        <top/>
        <bottom/>
      </border>
      <protection locked="1"/>
    </odxf>
    <n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qref="D17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27" sId="3" odxf="1" s="1" dxf="1">
    <nc r="E17">
      <v>200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cc rId="128" sId="3" odxf="1" s="1" dxf="1" numFmtId="34">
    <nc r="F17">
      <v>60</v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G17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17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1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1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1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29" sId="3" odxf="1" s="1" dxf="1">
    <nc r="N17">
      <f>SUM(H17:M17)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7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30" sId="3" odxf="1" dxf="1">
    <nc r="A18">
      <f>A17+1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8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18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18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31" sId="3" odxf="1" s="1" dxf="1">
    <nc r="E18">
      <v>200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cc rId="132" sId="3" odxf="1" s="1" dxf="1" numFmtId="34">
    <nc r="F18">
      <v>60</v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G18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18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1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1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1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33" sId="3" odxf="1" s="1" dxf="1">
    <nc r="N18">
      <f>SUM(H18:M18)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8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34" sId="3" odxf="1" dxf="1">
    <nc r="A19">
      <f>A18+1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19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19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19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19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19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19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19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1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1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1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1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1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35" sId="3" odxf="1" s="1" dxf="1">
    <nc r="N19">
      <f>SUM(H19:M19)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19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36" sId="3" odxf="1" dxf="1">
    <nc r="A20">
      <f>A19+1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0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0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0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37" sId="3" odxf="1" s="1" dxf="1">
    <nc r="E20">
      <v>200</v>
    </nc>
    <odxf>
      <numFmt numFmtId="0" formatCode="General"/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cc rId="138" sId="3" odxf="1" s="1" dxf="1" numFmtId="34">
    <nc r="F20">
      <v>60</v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ndxf>
  </rcc>
  <rfmt sheetId="3" s="1" sqref="G20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20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2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39" sId="3" odxf="1" s="1" dxf="1">
    <nc r="N20">
      <f>SUM(H20:M20)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20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0" sId="3" odxf="1" dxf="1">
    <nc r="A21">
      <f>A20+1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1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1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1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21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21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21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21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2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1" sId="3" odxf="1" s="1" dxf="1">
    <nc r="N21">
      <f>SUM(H21:M21)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21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2" sId="3" odxf="1" dxf="1">
    <nc r="A22">
      <f>A21+1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2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2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2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22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22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22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H22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="1" sqref="I2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3" sId="3" odxf="1" s="1" dxf="1">
    <nc r="N22">
      <f>SUM(H22:M22)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22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4" sId="3" odxf="1" dxf="1">
    <nc r="A23">
      <f>A22+1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3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3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3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23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23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23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5" sId="3" odxf="1" s="1" dxf="1">
    <nc r="H23">
      <f>IFERROR(((D23*E23)+F23+G23),)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2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N2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qref="O23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6" sId="3" odxf="1" dxf="1">
    <nc r="A24">
      <f>A23+1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4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4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4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24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24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24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7" sId="3" odxf="1" s="1" dxf="1">
    <nc r="H24">
      <f>IFERROR(((D24*E24)+F24+G24),)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24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4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4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4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4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8" sId="3" odxf="1" s="1" dxf="1">
    <nc r="N24">
      <f>SUM(H24:M24)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24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49" sId="3" odxf="1" dxf="1">
    <nc r="A25">
      <f>A24+1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5" start="0" length="0">
    <dxf>
      <font>
        <sz val="10"/>
        <color auto="1"/>
        <name val="Arial"/>
        <scheme val="none"/>
      </font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5" start="0" length="0">
    <dxf>
      <font>
        <sz val="10"/>
        <color auto="1"/>
        <name val="Arial"/>
        <scheme val="none"/>
      </font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5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25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25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25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0" sId="3" odxf="1" s="1" dxf="1">
    <nc r="H25">
      <f>IFERROR(((D25*E25)+F25+G25),)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2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5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1" sId="3" odxf="1" s="1" dxf="1">
    <nc r="N25">
      <f>SUM(H25:M25)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25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2" sId="3" odxf="1" dxf="1">
    <nc r="A26">
      <f>A25+1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6" start="0" length="0">
    <dxf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6" start="0" length="0">
    <dxf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6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26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26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26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3" sId="3" odxf="1" s="1" dxf="1">
    <nc r="H26">
      <f>IFERROR(((D26*E26)+F26+G26),)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2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6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4" sId="3" odxf="1" s="1" dxf="1">
    <nc r="N26">
      <f>SUM(H26:M26)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26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5" sId="3" odxf="1" dxf="1">
    <nc r="A27">
      <f>A26+1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7" start="0" length="0">
    <dxf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7" start="0" length="0">
    <dxf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7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27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27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27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6" sId="3" odxf="1" s="1" dxf="1">
    <nc r="H27">
      <f>IFERROR(((D27*E27)+F27+G27),)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2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7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7" sId="3" odxf="1" s="1" dxf="1">
    <nc r="N27">
      <f>SUM(H27:M27)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27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8" sId="3" odxf="1" dxf="1">
    <nc r="A28">
      <f>A27+1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8" start="0" length="0">
    <dxf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8" start="0" length="0">
    <dxf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8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28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28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28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59" sId="3" odxf="1" s="1" dxf="1">
    <nc r="H28">
      <f>IFERROR(((D28*E28)+F28+G28),)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2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8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0" sId="3" odxf="1" s="1" dxf="1">
    <nc r="N28">
      <f>SUM(H28:M28)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28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1" sId="3" odxf="1" dxf="1">
    <nc r="A29">
      <f>A28+1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29" start="0" length="0">
    <dxf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29" start="0" length="0">
    <dxf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29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29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29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29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2" sId="3" odxf="1" s="1" dxf="1">
    <nc r="H29">
      <f>IFERROR(((D29*E29)+F29+G29),)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2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2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2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2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29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3" sId="3" odxf="1" s="1" dxf="1">
    <nc r="N29">
      <f>SUM(H29:M29)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29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4" sId="3" odxf="1" dxf="1">
    <nc r="A30">
      <f>A29+1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30" start="0" length="0">
    <dxf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30" start="0" length="0">
    <dxf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30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30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30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30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5" sId="3" odxf="1" s="1" dxf="1">
    <nc r="H30">
      <f>IFERROR(((D30*E30)+F30+G30),)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3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3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3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3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30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6" sId="3" odxf="1" s="1" dxf="1">
    <nc r="N30">
      <f>SUM(H30:M30)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30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7" sId="3" odxf="1" dxf="1">
    <nc r="A31">
      <f>A30+1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31" start="0" length="0">
    <dxf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31" start="0" length="0">
    <dxf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31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31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31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31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8" sId="3" odxf="1" s="1" dxf="1">
    <nc r="H31">
      <f>IFERROR(((D31*E31)+F31+G31),)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3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3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3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3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31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69" sId="3" odxf="1" s="1" dxf="1">
    <nc r="N31">
      <f>SUM(H31:M31)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31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70" sId="3" odxf="1" dxf="1">
    <nc r="A32">
      <f>A31+1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32" start="0" length="0">
    <dxf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32" start="0" length="0">
    <dxf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32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32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32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32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71" sId="3" odxf="1" s="1" dxf="1">
    <nc r="H32">
      <f>IFERROR(((D32*E32)+F32+G32),)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3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3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3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3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32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72" sId="3" odxf="1" s="1" dxf="1">
    <nc r="N32">
      <f>SUM(H32:M32)</f>
    </nc>
    <odxf>
      <numFmt numFmtId="0" formatCode="General"/>
    </odxf>
    <n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O32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73" sId="3" odxf="1" dxf="1">
    <nc r="A33">
      <f>A32+1</f>
    </nc>
    <odxf>
      <alignment horizontal="general" vertical="bottom" readingOrder="0"/>
      <border outline="0">
        <left/>
        <right/>
        <top/>
        <bottom/>
      </border>
    </odxf>
    <n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qref="B33" start="0" length="0">
    <dxf>
      <numFmt numFmtId="19" formatCode="dd/mm/yyyy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C33" start="0" length="0">
    <dxf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qref="D33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E33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F33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G33" start="0" length="0">
    <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74" sId="3" odxf="1" s="1" dxf="1">
    <nc r="H33">
      <f>IFERROR(((D33*E33)+F33+G33),)</f>
    </nc>
    <odxf>
      <numFmt numFmtId="0" formatCode="General"/>
    </odxf>
    <ndxf>
      <numFmt numFmtId="165" formatCode="_(* #,##0_);_(* \(#,##0\);_(* &quot;-&quot;??_);_(@_)"/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3" s="1" sqref="I3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J3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K3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L3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M3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fmt sheetId="3" s="1" sqref="N33" start="0" length="0">
    <dxf>
      <numFmt numFmtId="165" formatCode="_(* #,##0_);_(* \(#,##0\);_(* &quot;-&quot;??_);_(@_)"/>
      <alignment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3" sqref="O33" start="0" length="0">
    <dxf>
      <alignment horizontal="center" vertic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/>
    </dxf>
  </rfmt>
  <rcc rId="175" sId="3" numFmtId="34">
    <nc r="H10">
      <v>260</v>
    </nc>
  </rcc>
  <rcc rId="176" sId="3" numFmtId="19">
    <nc r="B7">
      <v>43640</v>
    </nc>
  </rcc>
  <rcc rId="177" sId="3" numFmtId="19">
    <nc r="B8">
      <v>43640</v>
    </nc>
  </rcc>
  <rcc rId="178" sId="3" odxf="1" dxf="1" numFmtId="19">
    <nc r="B9">
      <v>43640</v>
    </nc>
    <ndxf>
      <font/>
    </ndxf>
  </rcc>
  <rcc rId="179" sId="3" odxf="1" dxf="1" numFmtId="19">
    <nc r="B10">
      <v>43640</v>
    </nc>
    <ndxf>
      <font/>
    </ndxf>
  </rcc>
  <rcc rId="180" sId="3" odxf="1" dxf="1" numFmtId="19">
    <nc r="B11">
      <v>43640</v>
    </nc>
    <ndxf>
      <font/>
    </ndxf>
  </rcc>
  <rcc rId="181" sId="3" odxf="1" dxf="1" numFmtId="19">
    <nc r="B12">
      <v>43640</v>
    </nc>
    <ndxf>
      <font/>
    </ndxf>
  </rcc>
  <rcc rId="182" sId="3" odxf="1" dxf="1" numFmtId="19">
    <nc r="B13">
      <v>43640</v>
    </nc>
    <ndxf>
      <font/>
    </ndxf>
  </rcc>
  <rcc rId="183" sId="3" odxf="1" dxf="1" numFmtId="19">
    <nc r="B14">
      <v>43640</v>
    </nc>
    <ndxf>
      <font/>
    </ndxf>
  </rcc>
  <rcc rId="184" sId="3" odxf="1" dxf="1" numFmtId="19">
    <nc r="B15">
      <v>43640</v>
    </nc>
    <ndxf>
      <font/>
    </ndxf>
  </rcc>
  <rcc rId="185" sId="3" odxf="1" dxf="1" numFmtId="19">
    <nc r="B16">
      <v>43640</v>
    </nc>
    <ndxf>
      <font/>
    </ndxf>
  </rcc>
  <rcc rId="186" sId="3" odxf="1" dxf="1" numFmtId="19">
    <nc r="B17">
      <v>43640</v>
    </nc>
    <ndxf>
      <font/>
    </ndxf>
  </rcc>
  <rcc rId="187" sId="3" numFmtId="19">
    <nc r="B18">
      <v>43640</v>
    </nc>
  </rcc>
  <rcc rId="188" sId="3" odxf="1" dxf="1" numFmtId="19">
    <nc r="B19">
      <v>43640</v>
    </nc>
    <ndxf>
      <font/>
    </ndxf>
  </rcc>
  <rcc rId="189" sId="3" odxf="1" dxf="1" numFmtId="19">
    <nc r="B20">
      <v>43640</v>
    </nc>
    <ndxf>
      <font/>
    </ndxf>
  </rcc>
  <rcc rId="190" sId="3" odxf="1" dxf="1" numFmtId="19">
    <nc r="B21">
      <v>43640</v>
    </nc>
    <ndxf>
      <font/>
    </ndxf>
  </rcc>
  <rcc rId="191" sId="3" numFmtId="19">
    <nc r="B7">
      <v>43641</v>
    </nc>
  </rcc>
  <rcc rId="192" sId="3" numFmtId="19">
    <nc r="B8">
      <v>43642</v>
    </nc>
  </rcc>
  <rcc rId="193" sId="3" numFmtId="19">
    <nc r="B9">
      <v>43643</v>
    </nc>
  </rcc>
  <rcc rId="194" sId="3" numFmtId="19">
    <nc r="B10">
      <v>43644</v>
    </nc>
  </rcc>
  <rcc rId="195" sId="3" numFmtId="19">
    <nc r="B11">
      <v>43645</v>
    </nc>
  </rcc>
  <rcc rId="196" sId="3" numFmtId="19">
    <nc r="B12">
      <v>43646</v>
    </nc>
  </rcc>
  <rcc rId="197" sId="3" numFmtId="19">
    <nc r="B13">
      <v>43647</v>
    </nc>
  </rcc>
  <rcc rId="198" sId="3" numFmtId="19">
    <nc r="B14">
      <v>43648</v>
    </nc>
  </rcc>
  <rcc rId="199" sId="3" numFmtId="19">
    <nc r="B15">
      <v>43649</v>
    </nc>
  </rcc>
  <rcc rId="200" sId="3" numFmtId="19">
    <nc r="B16">
      <v>43650</v>
    </nc>
  </rcc>
  <rcc rId="201" sId="3" numFmtId="19">
    <nc r="B17">
      <v>43651</v>
    </nc>
  </rcc>
  <rcc rId="202" sId="3" numFmtId="19">
    <nc r="B18">
      <v>43652</v>
    </nc>
  </rcc>
  <rcc rId="203" sId="3" numFmtId="19">
    <nc r="B19">
      <v>43653</v>
    </nc>
  </rcc>
  <rcc rId="204" sId="3" numFmtId="19">
    <nc r="B20">
      <v>43654</v>
    </nc>
  </rcc>
  <rcc rId="205" sId="3" numFmtId="19">
    <nc r="B21">
      <v>43655</v>
    </nc>
  </rcc>
  <rcc rId="206" sId="3" odxf="1" dxf="1" numFmtId="19">
    <nc r="B22">
      <v>43656</v>
    </nc>
    <ndxf>
      <font/>
    </ndxf>
  </rcc>
  <rcc rId="207" sId="3" odxf="1" dxf="1" numFmtId="19">
    <nc r="B23">
      <v>43657</v>
    </nc>
    <ndxf>
      <font/>
    </ndxf>
  </rcc>
  <rcc rId="208" sId="3" odxf="1" dxf="1" numFmtId="19">
    <nc r="B24">
      <v>43658</v>
    </nc>
    <ndxf>
      <font/>
    </ndxf>
  </rcc>
  <rcc rId="209" sId="3" numFmtId="34">
    <nc r="H10">
      <v>160</v>
    </nc>
  </rcc>
  <rcc rId="210" sId="3" numFmtId="34">
    <nc r="H11">
      <v>160</v>
    </nc>
  </rcc>
  <rcc rId="211" sId="3" numFmtId="34">
    <nc r="H13">
      <v>180</v>
    </nc>
  </rcc>
  <rcc rId="212" sId="3" numFmtId="34">
    <nc r="H17">
      <v>260</v>
    </nc>
  </rcc>
  <rcc rId="213" sId="3" numFmtId="34">
    <nc r="H18">
      <v>260</v>
    </nc>
  </rcc>
  <rcc rId="214" sId="3" numFmtId="34">
    <nc r="H19">
      <v>260</v>
    </nc>
  </rcc>
  <rcc rId="215" sId="3" numFmtId="34">
    <nc r="H20">
      <v>260</v>
    </nc>
  </rcc>
  <rcc rId="216" sId="3" numFmtId="34">
    <nc r="H9">
      <v>200</v>
    </nc>
  </rcc>
  <rcc rId="217" sId="3" numFmtId="34">
    <nc r="H8">
      <v>200</v>
    </nc>
  </rcc>
  <rcc rId="218" sId="3" numFmtId="34">
    <nc r="H7">
      <v>200</v>
    </nc>
  </rcc>
  <rcc rId="219" sId="3" numFmtId="34">
    <nc r="H6">
      <v>200</v>
    </nc>
  </rcc>
  <rcc rId="220" sId="3" numFmtId="34">
    <nc r="H14">
      <v>200</v>
    </nc>
  </rcc>
  <rcc rId="221" sId="3" numFmtId="34">
    <nc r="H15">
      <v>200</v>
    </nc>
  </rcc>
  <rcc rId="222" sId="3" numFmtId="34">
    <nc r="H16">
      <v>200</v>
    </nc>
  </rcc>
  <rcc rId="223" sId="3">
    <nc r="E21">
      <v>200</v>
    </nc>
  </rcc>
  <rcc rId="224" sId="3" numFmtId="34">
    <nc r="H21">
      <v>200</v>
    </nc>
  </rcc>
  <rcc rId="225" sId="3">
    <nc r="E22">
      <v>200</v>
    </nc>
  </rcc>
  <rcc rId="226" sId="3" numFmtId="34">
    <nc r="F21">
      <v>60</v>
    </nc>
  </rcc>
  <rcc rId="227" sId="3" numFmtId="34">
    <nc r="F22">
      <v>60</v>
    </nc>
  </rcc>
  <rfmt sheetId="3" s="1" sqref="E9" start="0" length="0">
    <dxf/>
  </rfmt>
  <rfmt sheetId="3" s="1" sqref="F9" start="0" length="0">
    <dxf>
      <numFmt numFmtId="0" formatCode="General"/>
    </dxf>
  </rfmt>
  <rfmt sheetId="3" s="1" sqref="G9" start="0" length="0">
    <dxf>
      <numFmt numFmtId="0" formatCode="General"/>
    </dxf>
  </rfmt>
  <rfmt sheetId="3" s="1" sqref="H9" start="0" length="0">
    <dxf>
      <numFmt numFmtId="0" formatCode="General"/>
      <protection locked="0"/>
    </dxf>
  </rfmt>
  <rfmt sheetId="3" s="1" sqref="I9" start="0" length="0">
    <dxf>
      <numFmt numFmtId="0" formatCode="General"/>
      <alignment horizontal="center" readingOrder="0"/>
    </dxf>
  </rfmt>
  <rfmt sheetId="3" s="1" sqref="J9" start="0" length="0">
    <dxf>
      <numFmt numFmtId="0" formatCode="General"/>
      <alignment horizontal="center" readingOrder="0"/>
    </dxf>
  </rfmt>
  <rcc rId="228" sId="3" numFmtId="34">
    <nc r="H22">
      <v>260</v>
    </nc>
  </rcc>
  <rcc rId="229" sId="3">
    <nc r="E9">
      <v>200</v>
    </nc>
  </rcc>
  <rcc rId="230" sId="3">
    <nc r="H9">
      <v>200</v>
    </nc>
  </rcc>
  <rcc rId="231" sId="3">
    <nc r="N23">
      <f>SUM(N6,N22)</f>
    </nc>
  </rcc>
  <rcc rId="232" sId="3">
    <nc r="N23">
      <f>sum</f>
    </nc>
  </rcc>
  <rcc rId="233" sId="3">
    <nc r="N23">
      <f>SUM(N6:N22)</f>
    </nc>
  </rcc>
  <rcc rId="234" sId="3">
    <nc r="N33">
      <f>SUM(N6:N22)</f>
    </nc>
  </rcc>
  <rcc rId="235" sId="3">
    <nc r="I33" t="inlineStr">
      <is>
        <t>total</t>
      </is>
    </nc>
  </rcc>
  <rdn rId="0" localSheetId="1" customView="1" name="Z_271C6151_21AB_456E_9D7E_FBBEA714E435_.wvu.PrintArea" hidden="1" oldHidden="1">
    <formula>'01'!$A$1:$P$51</formula>
  </rdn>
  <rdn rId="0" localSheetId="1" customView="1" name="Z_271C6151_21AB_456E_9D7E_FBBEA714E435_.wvu.Rows" hidden="1" oldHidden="1">
    <formula>'01'!$53:$1048576</formula>
  </rdn>
  <rdn rId="0" localSheetId="1" customView="1" name="Z_271C6151_21AB_456E_9D7E_FBBEA714E435_.wvu.Cols" hidden="1" oldHidden="1">
    <formula>'01'!$Q:$XFD</formula>
  </rdn>
  <rdn rId="0" localSheetId="1" customView="1" name="Z_271C6151_21AB_456E_9D7E_FBBEA714E435_.wvu.FilterData" hidden="1" oldHidden="1">
    <formula>'01'!$A$4:$AH$39</formula>
  </rdn>
  <rdn rId="0" localSheetId="2" customView="1" name="Z_271C6151_21AB_456E_9D7E_FBBEA714E435_.wvu.FilterData" hidden="1" oldHidden="1">
    <formula>Code_Details!$A$12:$E$39</formula>
  </rdn>
  <rcv guid="{271C6151-21AB-456E-9D7E-FBBEA714E435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52"/>
  <sheetViews>
    <sheetView showGridLines="0" topLeftCell="A7" zoomScale="90" zoomScaleNormal="90" workbookViewId="0">
      <selection sqref="A1:O33"/>
    </sheetView>
  </sheetViews>
  <sheetFormatPr defaultColWidth="0" defaultRowHeight="12.75" zeroHeight="1" x14ac:dyDescent="0.2"/>
  <cols>
    <col min="1" max="1" width="10.5703125" style="2" customWidth="1"/>
    <col min="2" max="2" width="11.140625" style="2" customWidth="1"/>
    <col min="3" max="3" width="37.140625" style="2" customWidth="1"/>
    <col min="4" max="6" width="9.85546875" style="2" customWidth="1"/>
    <col min="7" max="7" width="10.7109375" style="2" customWidth="1"/>
    <col min="8" max="8" width="11.85546875" style="2" customWidth="1"/>
    <col min="9" max="9" width="11.7109375" style="2" customWidth="1"/>
    <col min="10" max="10" width="12.28515625" style="2" customWidth="1"/>
    <col min="11" max="11" width="11.85546875" style="2" customWidth="1"/>
    <col min="12" max="12" width="12.5703125" style="2" customWidth="1"/>
    <col min="13" max="13" width="11" style="2" customWidth="1"/>
    <col min="14" max="14" width="15" style="2" customWidth="1"/>
    <col min="15" max="15" width="21.140625" style="2" customWidth="1"/>
    <col min="16" max="16" width="2" style="2" customWidth="1"/>
    <col min="17" max="36" width="0" style="2" hidden="1" customWidth="1"/>
    <col min="37" max="16384" width="9.140625" style="2" hidden="1"/>
  </cols>
  <sheetData>
    <row r="1" spans="1:19" s="9" customFormat="1" ht="12" x14ac:dyDescent="0.2">
      <c r="A1" s="10" t="s">
        <v>3</v>
      </c>
      <c r="H1" s="11" t="s">
        <v>24</v>
      </c>
      <c r="I1" s="78"/>
      <c r="J1" s="78"/>
      <c r="K1" s="12" t="s">
        <v>25</v>
      </c>
      <c r="L1" s="81" t="s">
        <v>34</v>
      </c>
      <c r="M1" s="82"/>
      <c r="N1" s="52" t="s">
        <v>119</v>
      </c>
      <c r="O1" s="40" t="s">
        <v>120</v>
      </c>
    </row>
    <row r="2" spans="1:19" s="10" customFormat="1" ht="12.75" customHeight="1" x14ac:dyDescent="0.2">
      <c r="A2" s="10" t="s">
        <v>1</v>
      </c>
      <c r="B2" s="79" t="s">
        <v>125</v>
      </c>
      <c r="C2" s="79"/>
      <c r="D2" s="79"/>
      <c r="E2" s="79"/>
      <c r="F2" s="79"/>
      <c r="G2" s="80"/>
      <c r="H2" s="13" t="s">
        <v>20</v>
      </c>
      <c r="I2" s="74"/>
      <c r="J2" s="74"/>
      <c r="K2" s="89" t="s">
        <v>26</v>
      </c>
      <c r="L2" s="90"/>
      <c r="M2" s="55" t="s">
        <v>34</v>
      </c>
      <c r="N2" s="13" t="s">
        <v>5</v>
      </c>
      <c r="O2" s="30" t="str">
        <f>VLOOKUP(M2,R5:S11,2,0)</f>
        <v>OFFICE</v>
      </c>
    </row>
    <row r="3" spans="1:19" s="4" customFormat="1" ht="11.25" x14ac:dyDescent="0.2">
      <c r="A3" s="3"/>
      <c r="B3" s="3"/>
      <c r="C3" s="3"/>
      <c r="D3" s="83" t="s">
        <v>28</v>
      </c>
      <c r="E3" s="84"/>
      <c r="F3" s="84"/>
      <c r="G3" s="84"/>
      <c r="H3" s="85"/>
      <c r="I3" s="86" t="s">
        <v>32</v>
      </c>
      <c r="J3" s="87"/>
      <c r="K3" s="87"/>
      <c r="L3" s="87"/>
      <c r="M3" s="87"/>
      <c r="N3" s="88"/>
      <c r="O3" s="39"/>
    </row>
    <row r="4" spans="1:19" s="37" customFormat="1" ht="33.75" x14ac:dyDescent="0.2">
      <c r="A4" s="35" t="s">
        <v>23</v>
      </c>
      <c r="B4" s="35" t="s">
        <v>33</v>
      </c>
      <c r="C4" s="36" t="s">
        <v>0</v>
      </c>
      <c r="D4" s="35" t="s">
        <v>2</v>
      </c>
      <c r="E4" s="35" t="s">
        <v>116</v>
      </c>
      <c r="F4" s="35" t="s">
        <v>27</v>
      </c>
      <c r="G4" s="35" t="s">
        <v>37</v>
      </c>
      <c r="H4" s="35" t="s">
        <v>38</v>
      </c>
      <c r="I4" s="35" t="s">
        <v>29</v>
      </c>
      <c r="J4" s="35" t="s">
        <v>30</v>
      </c>
      <c r="K4" s="35" t="s">
        <v>10</v>
      </c>
      <c r="L4" s="35" t="s">
        <v>36</v>
      </c>
      <c r="M4" s="35" t="s">
        <v>115</v>
      </c>
      <c r="N4" s="35" t="s">
        <v>39</v>
      </c>
      <c r="O4" s="41" t="s">
        <v>31</v>
      </c>
    </row>
    <row r="5" spans="1:19" s="21" customFormat="1" ht="16.5" customHeight="1" x14ac:dyDescent="0.2">
      <c r="A5" s="31">
        <v>1</v>
      </c>
      <c r="B5" s="57"/>
      <c r="C5" s="56" t="s">
        <v>121</v>
      </c>
      <c r="D5" s="14"/>
      <c r="E5" s="17"/>
      <c r="F5" s="18"/>
      <c r="G5" s="18"/>
      <c r="H5" s="5">
        <f t="shared" ref="H5:H17" si="0">IFERROR(((D5*E5)+F5+G5),)</f>
        <v>0</v>
      </c>
      <c r="I5" s="19"/>
      <c r="J5" s="59"/>
      <c r="K5" s="19"/>
      <c r="L5" s="19"/>
      <c r="M5" s="19"/>
      <c r="N5" s="32">
        <f t="shared" ref="N5:N17" si="1">SUM(H5:M5)</f>
        <v>0</v>
      </c>
      <c r="O5" s="14"/>
      <c r="R5" s="1" t="s">
        <v>14</v>
      </c>
      <c r="S5" s="21">
        <v>571</v>
      </c>
    </row>
    <row r="6" spans="1:19" s="21" customFormat="1" ht="16.5" customHeight="1" x14ac:dyDescent="0.2">
      <c r="A6" s="31">
        <f>A5+1</f>
        <v>2</v>
      </c>
      <c r="B6" s="57">
        <v>43640</v>
      </c>
      <c r="C6" s="56"/>
      <c r="D6" s="14"/>
      <c r="E6" s="17">
        <v>200</v>
      </c>
      <c r="F6" s="18"/>
      <c r="G6" s="18"/>
      <c r="H6" s="5">
        <f t="shared" si="0"/>
        <v>0</v>
      </c>
      <c r="I6" s="19"/>
      <c r="J6" s="19"/>
      <c r="K6" s="19"/>
      <c r="L6" s="19"/>
      <c r="M6" s="38"/>
      <c r="N6" s="32">
        <f t="shared" si="1"/>
        <v>0</v>
      </c>
      <c r="O6" s="14"/>
      <c r="R6" s="22" t="s">
        <v>16</v>
      </c>
      <c r="S6" s="21">
        <v>572</v>
      </c>
    </row>
    <row r="7" spans="1:19" s="21" customFormat="1" ht="16.5" customHeight="1" x14ac:dyDescent="0.2">
      <c r="A7" s="31">
        <f t="shared" ref="A7:A38" si="2">A6+1</f>
        <v>3</v>
      </c>
      <c r="B7" s="57">
        <v>43641</v>
      </c>
      <c r="C7" s="56"/>
      <c r="D7" s="14"/>
      <c r="E7" s="17">
        <v>200</v>
      </c>
      <c r="F7" s="18"/>
      <c r="G7" s="18"/>
      <c r="H7" s="5">
        <f t="shared" si="0"/>
        <v>0</v>
      </c>
      <c r="I7" s="19"/>
      <c r="J7" s="19"/>
      <c r="K7" s="19"/>
      <c r="L7" s="19"/>
      <c r="M7" s="19"/>
      <c r="N7" s="32">
        <f t="shared" si="1"/>
        <v>0</v>
      </c>
      <c r="O7" s="14"/>
      <c r="R7" s="22" t="s">
        <v>15</v>
      </c>
      <c r="S7" s="21">
        <v>573</v>
      </c>
    </row>
    <row r="8" spans="1:19" s="21" customFormat="1" ht="16.5" customHeight="1" x14ac:dyDescent="0.2">
      <c r="A8" s="31">
        <f t="shared" si="2"/>
        <v>4</v>
      </c>
      <c r="B8" s="57">
        <v>43642</v>
      </c>
      <c r="C8" s="56"/>
      <c r="D8" s="14"/>
      <c r="E8" s="17">
        <v>200</v>
      </c>
      <c r="F8" s="18"/>
      <c r="G8" s="18"/>
      <c r="H8" s="5">
        <f t="shared" si="0"/>
        <v>0</v>
      </c>
      <c r="I8" s="19"/>
      <c r="J8" s="19"/>
      <c r="K8" s="19"/>
      <c r="L8" s="19"/>
      <c r="M8" s="19"/>
      <c r="N8" s="32">
        <f t="shared" si="1"/>
        <v>0</v>
      </c>
      <c r="O8" s="14"/>
      <c r="R8" s="22" t="s">
        <v>17</v>
      </c>
      <c r="S8" s="21">
        <v>574</v>
      </c>
    </row>
    <row r="9" spans="1:19" s="21" customFormat="1" ht="16.5" customHeight="1" x14ac:dyDescent="0.2">
      <c r="A9" s="31">
        <f t="shared" si="2"/>
        <v>5</v>
      </c>
      <c r="B9" s="15">
        <v>43643</v>
      </c>
      <c r="C9" s="56"/>
      <c r="D9" s="14"/>
      <c r="E9" s="17">
        <v>200</v>
      </c>
      <c r="F9" s="18"/>
      <c r="G9" s="18"/>
      <c r="H9" s="5">
        <f t="shared" si="0"/>
        <v>0</v>
      </c>
      <c r="I9" s="19"/>
      <c r="J9" s="19"/>
      <c r="K9" s="19"/>
      <c r="L9" s="19"/>
      <c r="M9" s="19"/>
      <c r="N9" s="32">
        <f t="shared" si="1"/>
        <v>0</v>
      </c>
      <c r="O9" s="14"/>
      <c r="R9" s="22" t="s">
        <v>18</v>
      </c>
      <c r="S9" s="21">
        <v>594</v>
      </c>
    </row>
    <row r="10" spans="1:19" s="21" customFormat="1" ht="16.5" customHeight="1" x14ac:dyDescent="0.2">
      <c r="A10" s="31">
        <f t="shared" si="2"/>
        <v>6</v>
      </c>
      <c r="B10" s="15">
        <v>43644</v>
      </c>
      <c r="C10" s="56" t="s">
        <v>122</v>
      </c>
      <c r="D10" s="14"/>
      <c r="E10" s="17">
        <v>100</v>
      </c>
      <c r="F10" s="18">
        <v>60</v>
      </c>
      <c r="G10" s="18"/>
      <c r="H10" s="5">
        <f t="shared" si="0"/>
        <v>60</v>
      </c>
      <c r="I10" s="19"/>
      <c r="J10" s="19"/>
      <c r="K10" s="19"/>
      <c r="L10" s="19"/>
      <c r="M10" s="19"/>
      <c r="N10" s="32">
        <f t="shared" si="1"/>
        <v>60</v>
      </c>
      <c r="O10" s="14"/>
      <c r="R10" s="22" t="s">
        <v>19</v>
      </c>
      <c r="S10" s="21">
        <v>575</v>
      </c>
    </row>
    <row r="11" spans="1:19" s="21" customFormat="1" ht="16.5" customHeight="1" x14ac:dyDescent="0.2">
      <c r="A11" s="31">
        <f t="shared" si="2"/>
        <v>7</v>
      </c>
      <c r="B11" s="15">
        <v>43645</v>
      </c>
      <c r="C11" s="56" t="s">
        <v>122</v>
      </c>
      <c r="D11" s="14"/>
      <c r="E11" s="17">
        <v>100</v>
      </c>
      <c r="F11" s="18">
        <v>60</v>
      </c>
      <c r="G11" s="18"/>
      <c r="H11" s="5">
        <f t="shared" si="0"/>
        <v>60</v>
      </c>
      <c r="I11" s="19"/>
      <c r="J11" s="19"/>
      <c r="K11" s="19"/>
      <c r="L11" s="19"/>
      <c r="M11" s="19"/>
      <c r="N11" s="32">
        <f t="shared" si="1"/>
        <v>60</v>
      </c>
      <c r="O11" s="14"/>
      <c r="R11" s="22" t="s">
        <v>34</v>
      </c>
      <c r="S11" s="22" t="s">
        <v>35</v>
      </c>
    </row>
    <row r="12" spans="1:19" s="21" customFormat="1" ht="16.5" customHeight="1" x14ac:dyDescent="0.2">
      <c r="A12" s="31">
        <f t="shared" si="2"/>
        <v>8</v>
      </c>
      <c r="B12" s="15">
        <v>43647</v>
      </c>
      <c r="C12" s="56"/>
      <c r="D12" s="14"/>
      <c r="E12" s="17"/>
      <c r="F12" s="18"/>
      <c r="G12" s="18"/>
      <c r="H12" s="5">
        <f t="shared" si="0"/>
        <v>0</v>
      </c>
      <c r="I12" s="19"/>
      <c r="J12" s="19"/>
      <c r="K12" s="19"/>
      <c r="L12" s="19"/>
      <c r="M12" s="19"/>
      <c r="N12" s="32">
        <f t="shared" si="1"/>
        <v>0</v>
      </c>
      <c r="O12" s="14"/>
      <c r="P12" s="1"/>
    </row>
    <row r="13" spans="1:19" s="21" customFormat="1" ht="16.5" customHeight="1" x14ac:dyDescent="0.2">
      <c r="A13" s="31">
        <f t="shared" si="2"/>
        <v>9</v>
      </c>
      <c r="B13" s="15">
        <v>43648</v>
      </c>
      <c r="C13" s="56" t="s">
        <v>123</v>
      </c>
      <c r="D13" s="14"/>
      <c r="E13" s="17">
        <v>120</v>
      </c>
      <c r="F13" s="18">
        <v>60</v>
      </c>
      <c r="G13" s="18"/>
      <c r="H13" s="5">
        <f t="shared" si="0"/>
        <v>60</v>
      </c>
      <c r="I13" s="19"/>
      <c r="J13" s="19"/>
      <c r="K13" s="19"/>
      <c r="L13" s="19"/>
      <c r="M13" s="19"/>
      <c r="N13" s="32">
        <f t="shared" si="1"/>
        <v>60</v>
      </c>
      <c r="O13" s="14"/>
      <c r="P13" s="22"/>
    </row>
    <row r="14" spans="1:19" s="21" customFormat="1" ht="16.5" customHeight="1" x14ac:dyDescent="0.2">
      <c r="A14" s="31">
        <f t="shared" si="2"/>
        <v>10</v>
      </c>
      <c r="B14" s="15">
        <v>43649</v>
      </c>
      <c r="C14" s="56"/>
      <c r="D14" s="14"/>
      <c r="E14" s="17">
        <v>200</v>
      </c>
      <c r="F14" s="18"/>
      <c r="G14" s="18"/>
      <c r="H14" s="5">
        <f t="shared" si="0"/>
        <v>0</v>
      </c>
      <c r="I14" s="19"/>
      <c r="J14" s="19"/>
      <c r="K14" s="19"/>
      <c r="L14" s="33"/>
      <c r="M14" s="19"/>
      <c r="N14" s="32">
        <f t="shared" si="1"/>
        <v>0</v>
      </c>
      <c r="O14" s="14"/>
      <c r="P14" s="22"/>
    </row>
    <row r="15" spans="1:19" s="21" customFormat="1" ht="16.5" customHeight="1" x14ac:dyDescent="0.2">
      <c r="A15" s="31">
        <f t="shared" si="2"/>
        <v>11</v>
      </c>
      <c r="B15" s="15">
        <v>43650</v>
      </c>
      <c r="C15" s="56"/>
      <c r="D15" s="14"/>
      <c r="E15" s="17">
        <v>200</v>
      </c>
      <c r="F15" s="18"/>
      <c r="G15" s="18"/>
      <c r="H15" s="5">
        <f t="shared" si="0"/>
        <v>0</v>
      </c>
      <c r="I15" s="19"/>
      <c r="J15" s="19"/>
      <c r="K15" s="19"/>
      <c r="L15" s="19"/>
      <c r="M15" s="19"/>
      <c r="N15" s="32">
        <f t="shared" si="1"/>
        <v>0</v>
      </c>
      <c r="O15" s="14"/>
      <c r="P15" s="22"/>
      <c r="R15" s="21" t="s">
        <v>106</v>
      </c>
    </row>
    <row r="16" spans="1:19" s="21" customFormat="1" ht="16.5" customHeight="1" x14ac:dyDescent="0.2">
      <c r="A16" s="31">
        <f t="shared" si="2"/>
        <v>12</v>
      </c>
      <c r="B16" s="15">
        <v>43651</v>
      </c>
      <c r="C16" s="16"/>
      <c r="D16" s="14"/>
      <c r="E16" s="17">
        <v>200</v>
      </c>
      <c r="F16" s="18"/>
      <c r="G16" s="18"/>
      <c r="H16" s="5">
        <f t="shared" si="0"/>
        <v>0</v>
      </c>
      <c r="I16" s="19"/>
      <c r="J16" s="19"/>
      <c r="K16" s="19"/>
      <c r="L16" s="19"/>
      <c r="M16" s="19"/>
      <c r="N16" s="32">
        <f t="shared" si="1"/>
        <v>0</v>
      </c>
      <c r="O16" s="14"/>
      <c r="P16" s="22"/>
      <c r="R16" s="21" t="s">
        <v>107</v>
      </c>
    </row>
    <row r="17" spans="1:18" s="21" customFormat="1" ht="16.5" customHeight="1" x14ac:dyDescent="0.2">
      <c r="A17" s="31">
        <f t="shared" si="2"/>
        <v>13</v>
      </c>
      <c r="B17" s="15">
        <v>43652</v>
      </c>
      <c r="C17" s="56" t="s">
        <v>124</v>
      </c>
      <c r="D17" s="14"/>
      <c r="E17" s="17">
        <v>200</v>
      </c>
      <c r="F17" s="18">
        <v>60</v>
      </c>
      <c r="G17" s="18"/>
      <c r="H17" s="5">
        <f t="shared" si="0"/>
        <v>60</v>
      </c>
      <c r="I17" s="19"/>
      <c r="J17" s="19"/>
      <c r="K17" s="19"/>
      <c r="L17" s="19"/>
      <c r="M17" s="19"/>
      <c r="N17" s="32">
        <f t="shared" si="1"/>
        <v>60</v>
      </c>
      <c r="O17" s="14"/>
      <c r="P17" s="22"/>
      <c r="R17" s="21" t="s">
        <v>108</v>
      </c>
    </row>
    <row r="18" spans="1:18" s="21" customFormat="1" ht="16.5" customHeight="1" x14ac:dyDescent="0.2">
      <c r="A18" s="31">
        <f t="shared" si="2"/>
        <v>14</v>
      </c>
      <c r="B18" s="57">
        <v>43654</v>
      </c>
      <c r="C18" s="16"/>
      <c r="D18" s="14"/>
      <c r="E18" s="17">
        <v>200</v>
      </c>
      <c r="F18" s="18">
        <v>60</v>
      </c>
      <c r="G18" s="18"/>
      <c r="H18" s="5">
        <f t="shared" ref="H18:H28" si="3">IFERROR(((D18*E18)+F18+G18),)</f>
        <v>60</v>
      </c>
      <c r="I18" s="19"/>
      <c r="J18" s="19"/>
      <c r="K18" s="19"/>
      <c r="L18" s="19"/>
      <c r="M18" s="19"/>
      <c r="N18" s="32">
        <f t="shared" ref="N18:N28" si="4">SUM(H18:M18)</f>
        <v>60</v>
      </c>
      <c r="O18" s="14"/>
      <c r="P18" s="22"/>
      <c r="R18" s="21" t="s">
        <v>109</v>
      </c>
    </row>
    <row r="19" spans="1:18" s="21" customFormat="1" ht="16.5" customHeight="1" x14ac:dyDescent="0.2">
      <c r="A19" s="31">
        <f t="shared" si="2"/>
        <v>15</v>
      </c>
      <c r="B19" s="15">
        <v>43655</v>
      </c>
      <c r="C19" s="16"/>
      <c r="D19" s="14"/>
      <c r="E19" s="17">
        <v>200</v>
      </c>
      <c r="F19" s="18">
        <v>60</v>
      </c>
      <c r="G19" s="18"/>
      <c r="H19" s="5">
        <f t="shared" si="3"/>
        <v>60</v>
      </c>
      <c r="I19" s="19"/>
      <c r="J19" s="19"/>
      <c r="K19" s="19"/>
      <c r="L19" s="19"/>
      <c r="M19" s="19"/>
      <c r="N19" s="32">
        <f t="shared" si="4"/>
        <v>60</v>
      </c>
      <c r="O19" s="14"/>
      <c r="P19" s="22"/>
      <c r="R19" s="21" t="s">
        <v>114</v>
      </c>
    </row>
    <row r="20" spans="1:18" s="21" customFormat="1" ht="16.5" customHeight="1" x14ac:dyDescent="0.2">
      <c r="A20" s="31">
        <f t="shared" si="2"/>
        <v>16</v>
      </c>
      <c r="B20" s="15">
        <v>43656</v>
      </c>
      <c r="C20" s="16"/>
      <c r="D20" s="14"/>
      <c r="E20" s="17">
        <v>200</v>
      </c>
      <c r="F20" s="18">
        <v>60</v>
      </c>
      <c r="G20" s="18"/>
      <c r="H20" s="5">
        <f t="shared" si="3"/>
        <v>60</v>
      </c>
      <c r="I20" s="19"/>
      <c r="J20" s="19"/>
      <c r="K20" s="19"/>
      <c r="L20" s="19"/>
      <c r="M20" s="19"/>
      <c r="N20" s="32">
        <f t="shared" si="4"/>
        <v>60</v>
      </c>
      <c r="O20" s="14"/>
      <c r="P20" s="22"/>
      <c r="R20" s="21" t="s">
        <v>113</v>
      </c>
    </row>
    <row r="21" spans="1:18" s="21" customFormat="1" ht="16.5" customHeight="1" x14ac:dyDescent="0.2">
      <c r="A21" s="31">
        <f t="shared" si="2"/>
        <v>17</v>
      </c>
      <c r="B21" s="15"/>
      <c r="C21" s="16"/>
      <c r="D21" s="14"/>
      <c r="E21" s="17"/>
      <c r="F21" s="18"/>
      <c r="G21" s="18"/>
      <c r="H21" s="5">
        <f t="shared" si="3"/>
        <v>0</v>
      </c>
      <c r="I21" s="19"/>
      <c r="J21" s="19"/>
      <c r="K21" s="19"/>
      <c r="L21" s="19"/>
      <c r="M21" s="19"/>
      <c r="N21" s="32">
        <f t="shared" si="4"/>
        <v>0</v>
      </c>
      <c r="O21" s="14"/>
      <c r="P21" s="22"/>
      <c r="R21" s="21" t="s">
        <v>112</v>
      </c>
    </row>
    <row r="22" spans="1:18" s="21" customFormat="1" ht="16.5" customHeight="1" x14ac:dyDescent="0.2">
      <c r="A22" s="31">
        <f t="shared" si="2"/>
        <v>18</v>
      </c>
      <c r="B22" s="15"/>
      <c r="C22" s="16"/>
      <c r="D22" s="14"/>
      <c r="E22" s="17"/>
      <c r="F22" s="18"/>
      <c r="G22" s="18"/>
      <c r="H22" s="5">
        <f t="shared" si="3"/>
        <v>0</v>
      </c>
      <c r="I22" s="19"/>
      <c r="J22" s="19"/>
      <c r="K22" s="19"/>
      <c r="L22" s="19"/>
      <c r="M22" s="19"/>
      <c r="N22" s="32">
        <f t="shared" si="4"/>
        <v>0</v>
      </c>
      <c r="O22" s="14"/>
      <c r="P22" s="22"/>
      <c r="R22" s="21" t="s">
        <v>111</v>
      </c>
    </row>
    <row r="23" spans="1:18" s="21" customFormat="1" ht="16.5" customHeight="1" x14ac:dyDescent="0.2">
      <c r="A23" s="31">
        <f t="shared" si="2"/>
        <v>19</v>
      </c>
      <c r="B23" s="15"/>
      <c r="C23" s="16"/>
      <c r="D23" s="14"/>
      <c r="E23" s="17"/>
      <c r="F23" s="18"/>
      <c r="G23" s="18"/>
      <c r="H23" s="5">
        <f t="shared" si="3"/>
        <v>0</v>
      </c>
      <c r="I23" s="19"/>
      <c r="J23" s="19"/>
      <c r="K23" s="19"/>
      <c r="L23" s="19"/>
      <c r="M23" s="19"/>
      <c r="N23" s="32">
        <f t="shared" si="4"/>
        <v>0</v>
      </c>
      <c r="O23" s="14"/>
      <c r="P23" s="22"/>
      <c r="R23" s="21" t="s">
        <v>110</v>
      </c>
    </row>
    <row r="24" spans="1:18" s="21" customFormat="1" ht="16.5" customHeight="1" x14ac:dyDescent="0.2">
      <c r="A24" s="31">
        <f t="shared" si="2"/>
        <v>20</v>
      </c>
      <c r="B24" s="15"/>
      <c r="C24" s="16"/>
      <c r="D24" s="14"/>
      <c r="E24" s="17"/>
      <c r="F24" s="18"/>
      <c r="G24" s="18"/>
      <c r="H24" s="5">
        <f t="shared" si="3"/>
        <v>0</v>
      </c>
      <c r="I24" s="19"/>
      <c r="J24" s="19"/>
      <c r="K24" s="19"/>
      <c r="L24" s="19"/>
      <c r="M24" s="19"/>
      <c r="N24" s="32">
        <f t="shared" si="4"/>
        <v>0</v>
      </c>
      <c r="O24" s="14"/>
      <c r="P24" s="22"/>
    </row>
    <row r="25" spans="1:18" s="21" customFormat="1" ht="16.5" customHeight="1" x14ac:dyDescent="0.2">
      <c r="A25" s="31">
        <f t="shared" si="2"/>
        <v>21</v>
      </c>
      <c r="B25" s="15"/>
      <c r="C25" s="16"/>
      <c r="D25" s="14"/>
      <c r="E25" s="17"/>
      <c r="F25" s="18"/>
      <c r="G25" s="18"/>
      <c r="H25" s="5">
        <f t="shared" si="3"/>
        <v>0</v>
      </c>
      <c r="I25" s="19"/>
      <c r="J25" s="19"/>
      <c r="K25" s="19"/>
      <c r="L25" s="19"/>
      <c r="M25" s="19"/>
      <c r="N25" s="32">
        <f t="shared" si="4"/>
        <v>0</v>
      </c>
      <c r="O25" s="14"/>
      <c r="P25" s="22"/>
    </row>
    <row r="26" spans="1:18" s="21" customFormat="1" ht="16.5" customHeight="1" x14ac:dyDescent="0.2">
      <c r="A26" s="31">
        <f t="shared" si="2"/>
        <v>22</v>
      </c>
      <c r="B26" s="58"/>
      <c r="C26" s="23"/>
      <c r="D26" s="14"/>
      <c r="E26" s="17"/>
      <c r="F26" s="18"/>
      <c r="G26" s="18"/>
      <c r="H26" s="5">
        <f t="shared" si="3"/>
        <v>0</v>
      </c>
      <c r="I26" s="19"/>
      <c r="J26" s="19"/>
      <c r="K26" s="19"/>
      <c r="L26" s="19"/>
      <c r="M26" s="19"/>
      <c r="N26" s="32">
        <f t="shared" si="4"/>
        <v>0</v>
      </c>
      <c r="O26" s="14"/>
      <c r="P26" s="22"/>
    </row>
    <row r="27" spans="1:18" s="21" customFormat="1" ht="16.5" customHeight="1" x14ac:dyDescent="0.2">
      <c r="A27" s="31">
        <f t="shared" si="2"/>
        <v>23</v>
      </c>
      <c r="B27" s="58"/>
      <c r="C27" s="23"/>
      <c r="D27" s="14"/>
      <c r="E27" s="17"/>
      <c r="F27" s="18"/>
      <c r="G27" s="18"/>
      <c r="H27" s="5">
        <f t="shared" si="3"/>
        <v>0</v>
      </c>
      <c r="I27" s="19"/>
      <c r="J27" s="19"/>
      <c r="K27" s="19"/>
      <c r="L27" s="19"/>
      <c r="M27" s="19"/>
      <c r="N27" s="32">
        <f t="shared" si="4"/>
        <v>0</v>
      </c>
      <c r="O27" s="14"/>
      <c r="P27" s="22"/>
    </row>
    <row r="28" spans="1:18" s="21" customFormat="1" ht="16.5" customHeight="1" x14ac:dyDescent="0.2">
      <c r="A28" s="31">
        <f t="shared" si="2"/>
        <v>24</v>
      </c>
      <c r="B28" s="58"/>
      <c r="C28" s="23"/>
      <c r="D28" s="14"/>
      <c r="E28" s="17"/>
      <c r="F28" s="18"/>
      <c r="G28" s="18"/>
      <c r="H28" s="5">
        <f t="shared" si="3"/>
        <v>0</v>
      </c>
      <c r="I28" s="19"/>
      <c r="J28" s="19"/>
      <c r="K28" s="19"/>
      <c r="L28" s="19"/>
      <c r="M28" s="19"/>
      <c r="N28" s="32">
        <f t="shared" si="4"/>
        <v>0</v>
      </c>
      <c r="O28" s="14"/>
      <c r="P28" s="22"/>
    </row>
    <row r="29" spans="1:18" s="21" customFormat="1" ht="16.5" customHeight="1" x14ac:dyDescent="0.2">
      <c r="A29" s="31">
        <f t="shared" si="2"/>
        <v>25</v>
      </c>
      <c r="B29" s="58"/>
      <c r="C29" s="23"/>
      <c r="D29" s="14"/>
      <c r="E29" s="17"/>
      <c r="F29" s="18"/>
      <c r="G29" s="18"/>
      <c r="H29" s="5">
        <f t="shared" ref="H29:H38" si="5">IFERROR(((D29*E29)+F29+G29),)</f>
        <v>0</v>
      </c>
      <c r="I29" s="19"/>
      <c r="J29" s="19"/>
      <c r="K29" s="19"/>
      <c r="L29" s="19"/>
      <c r="M29" s="19"/>
      <c r="N29" s="32">
        <f t="shared" ref="N29:N38" si="6">SUM(H29:M29)</f>
        <v>0</v>
      </c>
      <c r="O29" s="14"/>
    </row>
    <row r="30" spans="1:18" s="21" customFormat="1" ht="16.5" customHeight="1" x14ac:dyDescent="0.2">
      <c r="A30" s="31">
        <f t="shared" si="2"/>
        <v>26</v>
      </c>
      <c r="B30" s="58"/>
      <c r="C30" s="23"/>
      <c r="D30" s="14"/>
      <c r="E30" s="17"/>
      <c r="F30" s="18"/>
      <c r="G30" s="18"/>
      <c r="H30" s="5">
        <f t="shared" si="5"/>
        <v>0</v>
      </c>
      <c r="I30" s="19"/>
      <c r="J30" s="19"/>
      <c r="K30" s="19"/>
      <c r="L30" s="19"/>
      <c r="M30" s="19"/>
      <c r="N30" s="32">
        <f t="shared" si="6"/>
        <v>0</v>
      </c>
      <c r="O30" s="14"/>
    </row>
    <row r="31" spans="1:18" s="21" customFormat="1" ht="16.5" customHeight="1" x14ac:dyDescent="0.2">
      <c r="A31" s="31">
        <f t="shared" si="2"/>
        <v>27</v>
      </c>
      <c r="B31" s="58"/>
      <c r="C31" s="23"/>
      <c r="D31" s="14"/>
      <c r="E31" s="17"/>
      <c r="F31" s="18"/>
      <c r="G31" s="18"/>
      <c r="H31" s="5">
        <f t="shared" si="5"/>
        <v>0</v>
      </c>
      <c r="I31" s="19"/>
      <c r="J31" s="19"/>
      <c r="K31" s="19"/>
      <c r="L31" s="19"/>
      <c r="M31" s="19"/>
      <c r="N31" s="32">
        <f t="shared" si="6"/>
        <v>0</v>
      </c>
      <c r="O31" s="14"/>
    </row>
    <row r="32" spans="1:18" s="21" customFormat="1" ht="16.5" customHeight="1" x14ac:dyDescent="0.2">
      <c r="A32" s="31">
        <f t="shared" si="2"/>
        <v>28</v>
      </c>
      <c r="B32" s="58"/>
      <c r="C32" s="23"/>
      <c r="D32" s="14"/>
      <c r="E32" s="17"/>
      <c r="F32" s="18"/>
      <c r="G32" s="18"/>
      <c r="H32" s="5">
        <f t="shared" si="5"/>
        <v>0</v>
      </c>
      <c r="I32" s="19"/>
      <c r="J32" s="19"/>
      <c r="K32" s="19"/>
      <c r="L32" s="19"/>
      <c r="M32" s="19"/>
      <c r="N32" s="32">
        <f t="shared" si="6"/>
        <v>0</v>
      </c>
      <c r="O32" s="14"/>
    </row>
    <row r="33" spans="1:15" s="21" customFormat="1" ht="16.5" customHeight="1" x14ac:dyDescent="0.2">
      <c r="A33" s="31">
        <f t="shared" si="2"/>
        <v>29</v>
      </c>
      <c r="B33" s="58"/>
      <c r="C33" s="23"/>
      <c r="D33" s="14"/>
      <c r="E33" s="17"/>
      <c r="F33" s="18"/>
      <c r="G33" s="18"/>
      <c r="H33" s="5">
        <f t="shared" si="5"/>
        <v>0</v>
      </c>
      <c r="I33" s="19"/>
      <c r="J33" s="19"/>
      <c r="K33" s="19"/>
      <c r="L33" s="19"/>
      <c r="M33" s="19"/>
      <c r="N33" s="32">
        <f t="shared" si="6"/>
        <v>0</v>
      </c>
      <c r="O33" s="14"/>
    </row>
    <row r="34" spans="1:15" s="21" customFormat="1" ht="16.5" customHeight="1" x14ac:dyDescent="0.2">
      <c r="A34" s="31">
        <f t="shared" si="2"/>
        <v>30</v>
      </c>
      <c r="B34" s="58"/>
      <c r="C34" s="23"/>
      <c r="D34" s="14"/>
      <c r="E34" s="17"/>
      <c r="F34" s="18"/>
      <c r="G34" s="18"/>
      <c r="H34" s="5">
        <f t="shared" si="5"/>
        <v>0</v>
      </c>
      <c r="I34" s="19"/>
      <c r="J34" s="19"/>
      <c r="K34" s="19"/>
      <c r="L34" s="20"/>
      <c r="M34" s="20"/>
      <c r="N34" s="32">
        <f t="shared" si="6"/>
        <v>0</v>
      </c>
      <c r="O34" s="14"/>
    </row>
    <row r="35" spans="1:15" s="21" customFormat="1" ht="16.5" customHeight="1" x14ac:dyDescent="0.2">
      <c r="A35" s="31">
        <f t="shared" si="2"/>
        <v>31</v>
      </c>
      <c r="B35" s="58"/>
      <c r="C35" s="23"/>
      <c r="D35" s="14"/>
      <c r="E35" s="17"/>
      <c r="F35" s="18"/>
      <c r="G35" s="18"/>
      <c r="H35" s="5">
        <f t="shared" si="5"/>
        <v>0</v>
      </c>
      <c r="I35" s="19"/>
      <c r="J35" s="19"/>
      <c r="K35" s="19"/>
      <c r="L35" s="19"/>
      <c r="M35" s="19"/>
      <c r="N35" s="32">
        <f t="shared" si="6"/>
        <v>0</v>
      </c>
      <c r="O35" s="14"/>
    </row>
    <row r="36" spans="1:15" s="21" customFormat="1" ht="16.5" customHeight="1" x14ac:dyDescent="0.2">
      <c r="A36" s="31">
        <f t="shared" si="2"/>
        <v>32</v>
      </c>
      <c r="B36" s="58"/>
      <c r="C36" s="23"/>
      <c r="D36" s="14"/>
      <c r="E36" s="17"/>
      <c r="F36" s="18"/>
      <c r="G36" s="18"/>
      <c r="H36" s="5">
        <f t="shared" si="5"/>
        <v>0</v>
      </c>
      <c r="I36" s="19"/>
      <c r="J36" s="19"/>
      <c r="K36" s="19"/>
      <c r="L36" s="19"/>
      <c r="M36" s="19"/>
      <c r="N36" s="32">
        <f t="shared" si="6"/>
        <v>0</v>
      </c>
      <c r="O36" s="14"/>
    </row>
    <row r="37" spans="1:15" s="21" customFormat="1" ht="16.5" customHeight="1" x14ac:dyDescent="0.2">
      <c r="A37" s="31">
        <f t="shared" si="2"/>
        <v>33</v>
      </c>
      <c r="B37" s="58"/>
      <c r="C37" s="23"/>
      <c r="D37" s="14"/>
      <c r="E37" s="17"/>
      <c r="F37" s="18"/>
      <c r="G37" s="18"/>
      <c r="H37" s="5">
        <f t="shared" si="5"/>
        <v>0</v>
      </c>
      <c r="I37" s="19"/>
      <c r="J37" s="19"/>
      <c r="K37" s="19"/>
      <c r="L37" s="19"/>
      <c r="M37" s="19"/>
      <c r="N37" s="32">
        <f t="shared" si="6"/>
        <v>0</v>
      </c>
      <c r="O37" s="14"/>
    </row>
    <row r="38" spans="1:15" s="21" customFormat="1" ht="16.5" customHeight="1" x14ac:dyDescent="0.2">
      <c r="A38" s="31">
        <f t="shared" si="2"/>
        <v>34</v>
      </c>
      <c r="B38" s="58"/>
      <c r="C38" s="23"/>
      <c r="D38" s="14"/>
      <c r="E38" s="17"/>
      <c r="F38" s="18"/>
      <c r="G38" s="18"/>
      <c r="H38" s="5">
        <f t="shared" si="5"/>
        <v>0</v>
      </c>
      <c r="I38" s="19"/>
      <c r="J38" s="19"/>
      <c r="K38" s="19"/>
      <c r="L38" s="19"/>
      <c r="M38" s="19"/>
      <c r="N38" s="32">
        <f t="shared" si="6"/>
        <v>0</v>
      </c>
      <c r="O38" s="14"/>
    </row>
    <row r="39" spans="1:15" s="1" customFormat="1" x14ac:dyDescent="0.2">
      <c r="A39" s="75" t="s">
        <v>4</v>
      </c>
      <c r="B39" s="76"/>
      <c r="C39" s="76"/>
      <c r="D39" s="76"/>
      <c r="E39" s="77"/>
      <c r="F39" s="24"/>
      <c r="G39" s="24"/>
      <c r="H39" s="25">
        <f t="shared" ref="H39:O39" si="7">SUM(H5:H38)</f>
        <v>420</v>
      </c>
      <c r="I39" s="26">
        <f t="shared" si="7"/>
        <v>0</v>
      </c>
      <c r="J39" s="26">
        <f t="shared" si="7"/>
        <v>0</v>
      </c>
      <c r="K39" s="26">
        <f t="shared" si="7"/>
        <v>0</v>
      </c>
      <c r="L39" s="26">
        <f t="shared" si="7"/>
        <v>0</v>
      </c>
      <c r="M39" s="26">
        <f t="shared" si="7"/>
        <v>0</v>
      </c>
      <c r="N39" s="26">
        <f t="shared" si="7"/>
        <v>420</v>
      </c>
      <c r="O39" s="27">
        <f t="shared" si="7"/>
        <v>0</v>
      </c>
    </row>
    <row r="40" spans="1:15" s="21" customFormat="1" x14ac:dyDescent="0.2">
      <c r="D40" s="50"/>
      <c r="E40" s="50"/>
      <c r="F40" s="50"/>
      <c r="G40" s="50"/>
      <c r="H40" s="50"/>
      <c r="I40" s="50"/>
      <c r="J40" s="50"/>
    </row>
    <row r="41" spans="1:15" s="1" customFormat="1" x14ac:dyDescent="0.2">
      <c r="C41" s="46" t="s">
        <v>118</v>
      </c>
      <c r="D41" s="51" t="s">
        <v>14</v>
      </c>
      <c r="E41" s="51" t="s">
        <v>16</v>
      </c>
      <c r="F41" s="51" t="s">
        <v>15</v>
      </c>
      <c r="G41" s="51" t="s">
        <v>117</v>
      </c>
      <c r="H41" s="51" t="s">
        <v>18</v>
      </c>
      <c r="I41" s="51" t="s">
        <v>34</v>
      </c>
      <c r="J41" s="51" t="s">
        <v>105</v>
      </c>
    </row>
    <row r="42" spans="1:15" s="28" customFormat="1" ht="12" x14ac:dyDescent="0.2">
      <c r="C42" s="45" t="s">
        <v>6</v>
      </c>
      <c r="D42" s="43">
        <f>(IF(OR('01'!$M$2="FAM",'01'!$M$2="HP",'01'!$M$2="FOOTIN",'01'!$M$2="MEP",'01'!$M$2="RNO"),"0",(+$H$39)))+I42*51.18%</f>
        <v>214.95600000000002</v>
      </c>
      <c r="E42" s="43">
        <f>(IF(OR('01'!$M$2="FSC",'01'!$M$2="HP",'01'!$M$2="FOOTIN",'01'!$M$2="MEP",'01'!$M$2="RNO"),"0",(+$H$39)))+I42*39.75%</f>
        <v>166.95000000000002</v>
      </c>
      <c r="F42" s="43">
        <f>(IF(OR('01'!$M$2="FAM",'01'!$M$2="FSC",'01'!$M$2="FOOTIN",'01'!$M$2="MEP",'01'!$M$2="RNO"),"0",(+$H$39)))+$I$42*9.07%</f>
        <v>38.094000000000001</v>
      </c>
      <c r="G42" s="43">
        <f>(IF(OR('01'!$M$2="FAM",'01'!$M$2="HP",'01'!$M$2="FSC",'01'!$M$2="MEP",'01'!$M$2="RNO"),"0",(+$H$39)))+$I$42*0%</f>
        <v>0</v>
      </c>
      <c r="H42" s="43">
        <f>(IF(OR('01'!$M$2="FAM",'01'!$M$2="HP",'01'!$M$2="FSC",'01'!$M$2="FOOTIN",'01'!$M$2="RNO"),"0",(+$H$39)))+$I$42*0%</f>
        <v>0</v>
      </c>
      <c r="I42" s="43">
        <f>IF(OR('01'!$M$2="FAM",'01'!$M$2="HP",'01'!$M$2="FSC",'01'!$M$2="FOOTIN",'01'!$M$2="MEP"),"0",(+$H$39))</f>
        <v>420</v>
      </c>
      <c r="J42" s="43">
        <f t="shared" ref="J42:J48" si="8">SUM(D42:H42)</f>
        <v>420.00000000000006</v>
      </c>
      <c r="K42" s="48">
        <f>J42-D42-E42-F42-G42-H42</f>
        <v>2.1316282072803006E-14</v>
      </c>
    </row>
    <row r="43" spans="1:15" s="28" customFormat="1" ht="12" x14ac:dyDescent="0.2">
      <c r="C43" s="45" t="s">
        <v>21</v>
      </c>
      <c r="D43" s="43">
        <f>(IF(OR('01'!$M$2="FAM",'01'!$M$2="HP",'01'!$M$2="FOOTIN",'01'!$M$2="MEP",'01'!$M$2="RNO"),"0",(+$I$39)))+$I$43*51.18%</f>
        <v>0</v>
      </c>
      <c r="E43" s="43">
        <f>(IF(OR('01'!$M$2="FSC",'01'!$M$2="HP",'01'!$M$2="FOOTIN",'01'!$M$2="MEP",'01'!$M$2="RNO"),"0",(+$I$39)))+$I$43*39.75%</f>
        <v>0</v>
      </c>
      <c r="F43" s="43">
        <f>(IF(OR('01'!$M$2="FAM",'01'!$M$2="FSC",'01'!$M$2="FOOTIN",'01'!$M$2="MEP",'01'!$M$2="RNO"),"0",(+$I$39)))+$I$43*9.07%</f>
        <v>0</v>
      </c>
      <c r="G43" s="43">
        <f>(IF(OR('01'!$M$2="FAM",'01'!$M$2="HP",'01'!$M$2="FSC",'01'!$M$2="MEP",'01'!$M$2="RNO"),"0",(+$I$39)))+$I$43*0%</f>
        <v>0</v>
      </c>
      <c r="H43" s="43">
        <f>(IF(OR('01'!$M$2="FAM",'01'!$M$2="HP",'01'!$M$2="FSC",'01'!$M$2="FOOTIN",'01'!$M$2="RNO"),"0",(+$I$39)))+$I$43*0%</f>
        <v>0</v>
      </c>
      <c r="I43" s="43">
        <f>IF(OR('01'!$M$2="FAM",'01'!$M$2="HP",'01'!$M$2="FSC",'01'!$M$2="FOOTIN",'01'!$M$2="MEP"),"0",(+$I$39))</f>
        <v>0</v>
      </c>
      <c r="J43" s="43">
        <f t="shared" si="8"/>
        <v>0</v>
      </c>
      <c r="K43" s="48">
        <f t="shared" ref="K43:K48" si="9">J43-D43-E43-F43-G43-H43</f>
        <v>0</v>
      </c>
      <c r="L43" s="29"/>
    </row>
    <row r="44" spans="1:15" s="28" customFormat="1" ht="12" x14ac:dyDescent="0.2">
      <c r="C44" s="45" t="s">
        <v>7</v>
      </c>
      <c r="D44" s="43">
        <f>(IF(OR('01'!$M$2="FAM",'01'!$M$2="HP",'01'!$M$2="FOOTIN",'01'!$M$2="MEP",'01'!$M$2="RNO"),"0",(+$J$39)))+$I$44*51.18%</f>
        <v>0</v>
      </c>
      <c r="E44" s="43">
        <f>(IF(OR('01'!$M$2="FSC",'01'!$M$2="HP",'01'!$M$2="FOOTIN",'01'!$M$2="MEP",'01'!$M$2="RNO"),"0",(+$J$39)))+$I$44*39.75%</f>
        <v>0</v>
      </c>
      <c r="F44" s="43">
        <f>(IF(OR('01'!$M$2="FAM",'01'!$M$2="FSC",'01'!$M$2="FOOTIN",'01'!$M$2="MEP",'01'!$M$2="RNO"),"0",(+$J$39)))+$I$44*9.07%</f>
        <v>0</v>
      </c>
      <c r="G44" s="43">
        <f>(IF(OR('01'!$M$2="FAM",'01'!$M$2="HP",'01'!$M$2="FSC",'01'!$M$2="MEP",'01'!$M$2="RNO"),"0",(+$J$39)))+$I$44*0%</f>
        <v>0</v>
      </c>
      <c r="H44" s="43">
        <f>(IF(OR('01'!$M$2="FAM",'01'!$M$2="HP",'01'!$M$2="FSC",'01'!$M$2="FOOTIN",'01'!$M$2="RNO"),"0",(+$J$39)))+$I$44*0%</f>
        <v>0</v>
      </c>
      <c r="I44" s="43">
        <f>IF(OR('01'!$M$2="FAM",'01'!$M$2="HP",'01'!$M$2="FSC",'01'!$M$2="FOOTIN",'01'!$M$2="MEP"),"0",(+$J$39))</f>
        <v>0</v>
      </c>
      <c r="J44" s="43">
        <f t="shared" si="8"/>
        <v>0</v>
      </c>
      <c r="K44" s="48">
        <f t="shared" si="9"/>
        <v>0</v>
      </c>
      <c r="L44" s="29"/>
    </row>
    <row r="45" spans="1:15" s="28" customFormat="1" ht="12" x14ac:dyDescent="0.2">
      <c r="C45" s="45" t="s">
        <v>8</v>
      </c>
      <c r="D45" s="43">
        <f>(IF(OR('01'!$M$2="FAM",'01'!$M$2="HP",'01'!$M$2="FOOTIN",'01'!$M$2="MEP",'01'!$M$2="RNO"),"0",(+$K$39)))+$I$45*51.18%</f>
        <v>0</v>
      </c>
      <c r="E45" s="43">
        <f>(IF(OR('01'!$M$2="FSC",'01'!$M$2="HP",'01'!$M$2="FOOTIN",'01'!$M$2="MEP",'01'!$M$2="RNO"),"0",(+$K$39)))+$I$45*39.75%</f>
        <v>0</v>
      </c>
      <c r="F45" s="43">
        <f>(IF(OR('01'!$M$2="FAM",'01'!$M$2="FSC",'01'!$M$2="FOOTIN",'01'!$M$2="MEP",'01'!$M$2="RNO"),"0",(+$K$39)))+$I$45*9.07%</f>
        <v>0</v>
      </c>
      <c r="G45" s="43">
        <f>(IF(OR('01'!$M$2="FAM",'01'!$M$2="HP",'01'!$M$2="FSC",'01'!$M$2="MEP",'01'!$M$2="RNO"),"0",(+$K$39)))+$I$45*0%</f>
        <v>0</v>
      </c>
      <c r="H45" s="43">
        <f>(IF(OR('01'!$M$2="FAM",'01'!$M$2="HP",'01'!$M$2="FSC",'01'!$M$2="FOOTIN",'01'!$M$2="RNO"),"0",(+$K$39)))+$I$45*0%</f>
        <v>0</v>
      </c>
      <c r="I45" s="43">
        <f>IF(OR('01'!$M$2="FAM",'01'!$M$2="HP",'01'!$M$2="FSC",'01'!$M$2="FOOTIN",'01'!$M$2="MEP"),"0",(+$K$39))</f>
        <v>0</v>
      </c>
      <c r="J45" s="43">
        <f t="shared" si="8"/>
        <v>0</v>
      </c>
      <c r="K45" s="48">
        <f t="shared" si="9"/>
        <v>0</v>
      </c>
      <c r="L45" s="29"/>
    </row>
    <row r="46" spans="1:15" s="28" customFormat="1" ht="12" x14ac:dyDescent="0.2">
      <c r="C46" s="45" t="s">
        <v>9</v>
      </c>
      <c r="D46" s="43">
        <f>(IF(OR('01'!$M$2="FAM",'01'!$M$2="HP",'01'!$M$2="FOOTIN",'01'!$M$2="MEP",'01'!$M$2="RNO"),"0",(+$L$39)))+$I$46*51.18%</f>
        <v>0</v>
      </c>
      <c r="E46" s="43">
        <f>(IF(OR('01'!$M$2="FSC",'01'!$M$2="HP",'01'!$M$2="FOOTIN",'01'!$M$2="MEP",'01'!$M$2="RNO"),"0",(+$L$39)))+$I$46*39.75%</f>
        <v>0</v>
      </c>
      <c r="F46" s="43">
        <f>(IF(OR('01'!$M$2="FAM",'01'!$M$2="FSC",'01'!$M$2="FOOTIN",'01'!$M$2="MEP",'01'!$M$2="RNO"),"0",(+$L$39)))+$I$46*9.07%</f>
        <v>0</v>
      </c>
      <c r="G46" s="43">
        <f>(IF(OR('01'!$M$2="FAM",'01'!$M$2="HP",'01'!$M$2="FSC",'01'!$M$2="MEP",'01'!$M$2="RNO"),"0",(+$L$39)))+$I$46*0%</f>
        <v>0</v>
      </c>
      <c r="H46" s="43">
        <f>(IF(OR('01'!$M$2="FAM",'01'!$M$2="HP",'01'!$M$2="FSC",'01'!$M$2="FOOTIN",'01'!$M$2="RNO"),"0",(+$L$39)))+$I$46*0%</f>
        <v>0</v>
      </c>
      <c r="I46" s="43">
        <f>IF(OR('01'!$M$2="FAM",'01'!$M$2="HP",'01'!$M$2="FSC",'01'!$M$2="FOOTIN",'01'!$M$2="MEP"),"0",(+$L$39))</f>
        <v>0</v>
      </c>
      <c r="J46" s="43">
        <f t="shared" si="8"/>
        <v>0</v>
      </c>
      <c r="K46" s="48">
        <f t="shared" si="9"/>
        <v>0</v>
      </c>
      <c r="L46" s="29"/>
    </row>
    <row r="47" spans="1:15" s="28" customFormat="1" ht="12" x14ac:dyDescent="0.2">
      <c r="C47" s="45" t="s">
        <v>22</v>
      </c>
      <c r="D47" s="43">
        <f>(IF(OR('01'!$M$2="FAM",'01'!$M$2="HP",'01'!$M$2="FOOTIN",'01'!$M$2="MEP",'01'!$M$2="RNO"),"0",(+$M$39)))+$I$47*51.18%</f>
        <v>0</v>
      </c>
      <c r="E47" s="43">
        <f>(IF(OR('01'!$M$2="FSC",'01'!$M$2="HP",'01'!$M$2="FOOTIN",'01'!$M$2="MEP",'01'!$M$2="RNO",'01'!$M$2="FAM"),"0",(+$M$39)))+$I$47*39.75%</f>
        <v>0</v>
      </c>
      <c r="F47" s="43">
        <f>(IF(OR('01'!$M$2="FAM",'01'!$M$2="FSC",'01'!$M$2="FOOTIN",'01'!$M$2="MEP",'01'!$M$2="RNO",'01'!$M$2="HP"),"0",(+$M$39)))+$I$47*9.07%</f>
        <v>0</v>
      </c>
      <c r="G47" s="43">
        <f>(IF(OR('01'!$M$2="FAM",'01'!$M$2="HP",'01'!$M$2="FSC",'01'!$M$2="MEP",'01'!$M$2="RNO",'01'!$M$2="FOOTIN"),"0",(+$M$39)))+$I$47*0%</f>
        <v>0</v>
      </c>
      <c r="H47" s="43">
        <f>(IF(OR('01'!$M$2="FAM",'01'!$M$2="HP",'01'!$M$2="FSC",'01'!$M$2="RNO",'01'!$M$2="FOOTIN"),"0",(+$M$39)))+$I$47*0%</f>
        <v>0</v>
      </c>
      <c r="I47" s="49" t="str">
        <f>IF(OR('01'!$M$2="FAM",'01'!$M$2="HP",'01'!$M$2="FSC",'01'!$M$2="FOOTIN",'01'!$M$2="MEP",'01'!$M$2="RNO"),"0",(+$M$39))</f>
        <v>0</v>
      </c>
      <c r="J47" s="43">
        <f t="shared" si="8"/>
        <v>0</v>
      </c>
      <c r="K47" s="48">
        <f t="shared" si="9"/>
        <v>0</v>
      </c>
      <c r="L47" s="29"/>
    </row>
    <row r="48" spans="1:15" s="28" customFormat="1" ht="12" x14ac:dyDescent="0.2">
      <c r="C48" s="45" t="s">
        <v>11</v>
      </c>
      <c r="D48" s="43">
        <f>(IF(OR('01'!$M$2="FAM",'01'!$M$2="HP",'01'!$M$2="FOOTIN",'01'!$M$2="MEP",'01'!$M$2="RNO",'01'!$M$2="FSC"),"0",(+$M$39)))+$I$48*51.18%</f>
        <v>0</v>
      </c>
      <c r="E48" s="43">
        <f>(IF(OR('01'!$M$2="FSC",'01'!$M$2="HP",'01'!$M$2="FOOTIN",'01'!$M$2="MEP",'01'!$M$2="RNO",'01'!$M$2="FSC"),"0",(+$M$39)))+$I$48*39.75%</f>
        <v>0</v>
      </c>
      <c r="F48" s="43">
        <f>(IF(OR('01'!$M$2="FAM",'01'!$M$2="FSC",'01'!$M$2="FOOTIN",'01'!$M$2="MEP",'01'!$M$2="RNO",'01'!$M$2="FSC"),"0",(+$M$39)))+$I$48*9.07%</f>
        <v>0</v>
      </c>
      <c r="G48" s="43">
        <f>(IF(OR('01'!$M$2="FAM",'01'!$M$2="HP",'01'!$M$2="FSC",'01'!$M$2="MEP",'01'!$M$2="RNO",'01'!$M$2="FOT"),"0",(+$M$39)))+$I$48*0%</f>
        <v>0</v>
      </c>
      <c r="H48" s="43">
        <f>(IF(OR('01'!$M$2="FAM",'01'!$M$2="HP",'01'!$M$2="FSC",'01'!$M$2="MEP",'01'!$M$2="RNO",'01'!$M$2="FOOTIN"),"0",(+$M$39)))+$I$48*0%</f>
        <v>0</v>
      </c>
      <c r="I48" s="43">
        <f>IF(OR('01'!$M$2="FAM",'01'!$M$2="HP",'01'!$M$2="FSC",'01'!$M$2="FOOTIN",'01'!$M$2="MEP"),"0",(+$M$39))</f>
        <v>0</v>
      </c>
      <c r="J48" s="43">
        <f t="shared" si="8"/>
        <v>0</v>
      </c>
      <c r="K48" s="48">
        <f t="shared" si="9"/>
        <v>0</v>
      </c>
      <c r="L48" s="29"/>
    </row>
    <row r="49" spans="3:34" ht="12.75" customHeight="1" x14ac:dyDescent="0.2">
      <c r="C49" s="34"/>
      <c r="D49" s="44">
        <f t="shared" ref="D49:I49" si="10">SUM(D42:D48)</f>
        <v>214.95600000000002</v>
      </c>
      <c r="E49" s="44">
        <f t="shared" si="10"/>
        <v>166.95000000000002</v>
      </c>
      <c r="F49" s="44">
        <f>SUM(F42:F48)</f>
        <v>38.094000000000001</v>
      </c>
      <c r="G49" s="44">
        <f t="shared" si="10"/>
        <v>0</v>
      </c>
      <c r="H49" s="44">
        <f t="shared" si="10"/>
        <v>0</v>
      </c>
      <c r="I49" s="44">
        <f t="shared" si="10"/>
        <v>420</v>
      </c>
      <c r="J49" s="44">
        <f>SUM(J42:J48)</f>
        <v>420.00000000000006</v>
      </c>
      <c r="K49" s="47">
        <f>J49-N39</f>
        <v>0</v>
      </c>
      <c r="L49" s="42"/>
      <c r="M49" s="42"/>
      <c r="N49" s="42"/>
      <c r="O49" s="42"/>
      <c r="AH49" s="9"/>
    </row>
    <row r="50" spans="3:34" x14ac:dyDescent="0.2">
      <c r="AH50" s="9"/>
    </row>
    <row r="51" spans="3:34" x14ac:dyDescent="0.2">
      <c r="K51" s="53" t="s">
        <v>12</v>
      </c>
      <c r="L51" s="29"/>
      <c r="M51" s="10"/>
      <c r="N51" s="54" t="s">
        <v>13</v>
      </c>
      <c r="O51" s="28"/>
      <c r="AH51" s="9"/>
    </row>
    <row r="52" spans="3:34" x14ac:dyDescent="0.2">
      <c r="AH52" s="9"/>
    </row>
  </sheetData>
  <sheetProtection sheet="1" objects="1" scenarios="1" autoFilter="0"/>
  <customSheetViews>
    <customSheetView guid="{271C6151-21AB-456E-9D7E-FBBEA714E435}" scale="90" showGridLines="0" fitToPage="1" printArea="1" hiddenRows="1" hiddenColumns="1" topLeftCell="A7">
      <selection sqref="A1:O33"/>
      <pageMargins left="0.19685039370078741" right="0.11811023622047245" top="0.31496062992125984" bottom="0.11811023622047245" header="0.51181102362204722" footer="0.51181102362204722"/>
      <pageSetup paperSize="9" scale="70" orientation="landscape" r:id="rId1"/>
      <headerFooter alignWithMargins="0"/>
    </customSheetView>
    <customSheetView guid="{AE5B6E33-D665-4094-B85E-C1DB58D05A0E}" scale="90" showGridLines="0" fitToPage="1" hiddenRows="1" hiddenColumns="1" topLeftCell="A25">
      <selection activeCell="J34" sqref="J34"/>
      <pageMargins left="0.19685039370078741" right="0.11811023622047245" top="0.31496062992125984" bottom="0.11811023622047245" header="0.51181102362204722" footer="0.51181102362204722"/>
      <pageSetup paperSize="9" scale="70" orientation="landscape" r:id="rId2"/>
      <headerFooter alignWithMargins="0"/>
    </customSheetView>
  </customSheetViews>
  <mergeCells count="8">
    <mergeCell ref="I2:J2"/>
    <mergeCell ref="A39:E39"/>
    <mergeCell ref="I1:J1"/>
    <mergeCell ref="B2:G2"/>
    <mergeCell ref="L1:M1"/>
    <mergeCell ref="D3:H3"/>
    <mergeCell ref="I3:N3"/>
    <mergeCell ref="K2:L2"/>
  </mergeCells>
  <dataValidations count="4">
    <dataValidation type="list" allowBlank="1" showInputMessage="1" showErrorMessage="1" sqref="M2">
      <formula1>"FSC,FAM,HP,FOOTIN,MEP,RNO"</formula1>
    </dataValidation>
    <dataValidation type="list" allowBlank="1" showInputMessage="1" showErrorMessage="1" sqref="L1">
      <formula1>"RNO,OPERATION,RTA"</formula1>
    </dataValidation>
    <dataValidation type="list" allowBlank="1" showInputMessage="1" showErrorMessage="1" sqref="I1:J1">
      <formula1>"M,MA,M-1,M-2,M-3,M-4,M-5,"</formula1>
    </dataValidation>
    <dataValidation type="list" allowBlank="1" showInputMessage="1" showErrorMessage="1" sqref="O5:O38">
      <formula1>"YES,NO"</formula1>
    </dataValidation>
  </dataValidations>
  <pageMargins left="0.19685039370078741" right="0.11811023622047245" top="0.31496062992125984" bottom="0.11811023622047245" header="0.51181102362204722" footer="0.51181102362204722"/>
  <pageSetup paperSize="9" scale="70" orientation="landscape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3"/>
  <sheetViews>
    <sheetView tabSelected="1" topLeftCell="A3" workbookViewId="0">
      <selection activeCell="I33" sqref="I33"/>
    </sheetView>
  </sheetViews>
  <sheetFormatPr defaultRowHeight="12.75" x14ac:dyDescent="0.2"/>
  <cols>
    <col min="2" max="2" width="10.140625" bestFit="1" customWidth="1"/>
  </cols>
  <sheetData>
    <row r="1" spans="1:15" x14ac:dyDescent="0.2">
      <c r="A1" s="10" t="s">
        <v>3</v>
      </c>
      <c r="B1" s="9"/>
      <c r="C1" s="9"/>
      <c r="D1" s="9"/>
      <c r="E1" s="9"/>
      <c r="F1" s="9"/>
      <c r="G1" s="9"/>
      <c r="H1" s="11" t="s">
        <v>24</v>
      </c>
      <c r="I1" s="61"/>
      <c r="J1" s="61"/>
      <c r="K1" s="12" t="s">
        <v>25</v>
      </c>
      <c r="L1" s="64" t="s">
        <v>34</v>
      </c>
      <c r="M1" s="65"/>
      <c r="N1" s="52" t="s">
        <v>119</v>
      </c>
      <c r="O1" s="61" t="s">
        <v>120</v>
      </c>
    </row>
    <row r="2" spans="1:15" x14ac:dyDescent="0.2">
      <c r="A2" s="10" t="s">
        <v>1</v>
      </c>
      <c r="B2" s="62" t="s">
        <v>125</v>
      </c>
      <c r="C2" s="62"/>
      <c r="D2" s="62"/>
      <c r="E2" s="62"/>
      <c r="F2" s="62"/>
      <c r="G2" s="63"/>
      <c r="H2" s="13" t="s">
        <v>20</v>
      </c>
      <c r="I2" s="60"/>
      <c r="J2" s="60"/>
      <c r="K2" s="72" t="s">
        <v>26</v>
      </c>
      <c r="L2" s="73"/>
      <c r="M2" s="60" t="s">
        <v>34</v>
      </c>
      <c r="N2" s="13" t="s">
        <v>5</v>
      </c>
      <c r="O2" s="30" t="e">
        <f>VLOOKUP(M2,R5:S11,2,0)</f>
        <v>#N/A</v>
      </c>
    </row>
    <row r="3" spans="1:15" x14ac:dyDescent="0.2">
      <c r="A3" s="3"/>
      <c r="B3" s="3"/>
      <c r="C3" s="3"/>
      <c r="D3" s="66" t="s">
        <v>28</v>
      </c>
      <c r="E3" s="67"/>
      <c r="F3" s="67"/>
      <c r="G3" s="67"/>
      <c r="H3" s="68"/>
      <c r="I3" s="69" t="s">
        <v>32</v>
      </c>
      <c r="J3" s="70"/>
      <c r="K3" s="70"/>
      <c r="L3" s="70"/>
      <c r="M3" s="70"/>
      <c r="N3" s="71"/>
      <c r="O3" s="39"/>
    </row>
    <row r="4" spans="1:15" ht="56.25" x14ac:dyDescent="0.2">
      <c r="A4" s="35" t="s">
        <v>23</v>
      </c>
      <c r="B4" s="35" t="s">
        <v>33</v>
      </c>
      <c r="C4" s="36" t="s">
        <v>0</v>
      </c>
      <c r="D4" s="35" t="s">
        <v>2</v>
      </c>
      <c r="E4" s="35" t="s">
        <v>116</v>
      </c>
      <c r="F4" s="35" t="s">
        <v>27</v>
      </c>
      <c r="G4" s="35" t="s">
        <v>37</v>
      </c>
      <c r="H4" s="35" t="s">
        <v>38</v>
      </c>
      <c r="I4" s="35" t="s">
        <v>29</v>
      </c>
      <c r="J4" s="35" t="s">
        <v>30</v>
      </c>
      <c r="K4" s="35" t="s">
        <v>10</v>
      </c>
      <c r="L4" s="35" t="s">
        <v>36</v>
      </c>
      <c r="M4" s="35" t="s">
        <v>115</v>
      </c>
      <c r="N4" s="35" t="s">
        <v>39</v>
      </c>
      <c r="O4" s="41" t="s">
        <v>31</v>
      </c>
    </row>
    <row r="5" spans="1:15" x14ac:dyDescent="0.2">
      <c r="A5" s="31">
        <v>1</v>
      </c>
      <c r="B5" s="57"/>
      <c r="C5" s="56" t="s">
        <v>121</v>
      </c>
      <c r="D5" s="14"/>
      <c r="E5" s="17"/>
      <c r="F5" s="18"/>
      <c r="G5" s="18"/>
      <c r="H5" s="5">
        <f t="shared" ref="H5:H33" si="0">IFERROR(((D5*E5)+F5+G5),)</f>
        <v>0</v>
      </c>
      <c r="I5" s="19"/>
      <c r="J5" s="59"/>
      <c r="K5" s="19"/>
      <c r="L5" s="19"/>
      <c r="M5" s="19"/>
      <c r="N5" s="32">
        <f t="shared" ref="N5:N33" si="1">SUM(H5:M5)</f>
        <v>0</v>
      </c>
      <c r="O5" s="14"/>
    </row>
    <row r="6" spans="1:15" x14ac:dyDescent="0.2">
      <c r="A6" s="31">
        <f>A5+1</f>
        <v>2</v>
      </c>
      <c r="B6" s="57">
        <v>43640</v>
      </c>
      <c r="C6" s="56"/>
      <c r="D6" s="14"/>
      <c r="E6" s="17">
        <v>200</v>
      </c>
      <c r="F6" s="18"/>
      <c r="G6" s="18"/>
      <c r="H6" s="5">
        <v>200</v>
      </c>
      <c r="I6" s="19"/>
      <c r="J6" s="19"/>
      <c r="K6" s="19"/>
      <c r="L6" s="19"/>
      <c r="M6" s="38"/>
      <c r="N6" s="32">
        <f t="shared" si="1"/>
        <v>200</v>
      </c>
      <c r="O6" s="14"/>
    </row>
    <row r="7" spans="1:15" x14ac:dyDescent="0.2">
      <c r="A7" s="31">
        <f t="shared" ref="A7:A33" si="2">A6+1</f>
        <v>3</v>
      </c>
      <c r="B7" s="57">
        <v>43641</v>
      </c>
      <c r="C7" s="56"/>
      <c r="D7" s="14"/>
      <c r="E7" s="17">
        <v>200</v>
      </c>
      <c r="F7" s="18"/>
      <c r="G7" s="18"/>
      <c r="H7" s="5">
        <v>200</v>
      </c>
      <c r="I7" s="19"/>
      <c r="J7" s="19"/>
      <c r="K7" s="19"/>
      <c r="L7" s="19"/>
      <c r="M7" s="19"/>
      <c r="N7" s="32">
        <f t="shared" si="1"/>
        <v>200</v>
      </c>
      <c r="O7" s="14"/>
    </row>
    <row r="8" spans="1:15" x14ac:dyDescent="0.2">
      <c r="A8" s="31">
        <f t="shared" si="2"/>
        <v>4</v>
      </c>
      <c r="B8" s="57">
        <v>43642</v>
      </c>
      <c r="C8" s="56"/>
      <c r="D8" s="14"/>
      <c r="E8" s="17">
        <v>200</v>
      </c>
      <c r="F8" s="18"/>
      <c r="G8" s="18"/>
      <c r="H8" s="5">
        <v>200</v>
      </c>
      <c r="I8" s="19"/>
      <c r="J8" s="19"/>
      <c r="K8" s="19"/>
      <c r="L8" s="19"/>
      <c r="M8" s="19"/>
      <c r="N8" s="32">
        <f t="shared" si="1"/>
        <v>200</v>
      </c>
      <c r="O8" s="14"/>
    </row>
    <row r="9" spans="1:15" x14ac:dyDescent="0.2">
      <c r="A9" s="31">
        <f t="shared" si="2"/>
        <v>5</v>
      </c>
      <c r="B9" s="57">
        <v>43643</v>
      </c>
      <c r="C9" s="56"/>
      <c r="D9" s="14"/>
      <c r="E9" s="14">
        <v>200</v>
      </c>
      <c r="F9" s="14"/>
      <c r="G9" s="14"/>
      <c r="H9" s="14">
        <v>200</v>
      </c>
      <c r="I9" s="14"/>
      <c r="J9" s="14"/>
      <c r="K9" s="19"/>
      <c r="L9" s="19"/>
      <c r="M9" s="19"/>
      <c r="N9" s="32">
        <f t="shared" si="1"/>
        <v>200</v>
      </c>
      <c r="O9" s="14"/>
    </row>
    <row r="10" spans="1:15" x14ac:dyDescent="0.2">
      <c r="A10" s="31">
        <f t="shared" si="2"/>
        <v>6</v>
      </c>
      <c r="B10" s="57">
        <v>43644</v>
      </c>
      <c r="C10" s="56" t="s">
        <v>122</v>
      </c>
      <c r="D10" s="14"/>
      <c r="E10" s="17">
        <v>100</v>
      </c>
      <c r="F10" s="18">
        <v>60</v>
      </c>
      <c r="G10" s="18"/>
      <c r="H10" s="5">
        <v>160</v>
      </c>
      <c r="I10" s="19"/>
      <c r="J10" s="19"/>
      <c r="K10" s="19"/>
      <c r="L10" s="19"/>
      <c r="M10" s="19"/>
      <c r="N10" s="32">
        <f t="shared" si="1"/>
        <v>160</v>
      </c>
      <c r="O10" s="14"/>
    </row>
    <row r="11" spans="1:15" x14ac:dyDescent="0.2">
      <c r="A11" s="31">
        <f t="shared" si="2"/>
        <v>7</v>
      </c>
      <c r="B11" s="57">
        <v>43645</v>
      </c>
      <c r="C11" s="56" t="s">
        <v>122</v>
      </c>
      <c r="D11" s="14"/>
      <c r="E11" s="17">
        <v>100</v>
      </c>
      <c r="F11" s="18">
        <v>60</v>
      </c>
      <c r="G11" s="18"/>
      <c r="H11" s="5">
        <v>160</v>
      </c>
      <c r="I11" s="19"/>
      <c r="J11" s="19"/>
      <c r="K11" s="19"/>
      <c r="L11" s="19"/>
      <c r="M11" s="19"/>
      <c r="N11" s="32">
        <f t="shared" si="1"/>
        <v>160</v>
      </c>
      <c r="O11" s="14"/>
    </row>
    <row r="12" spans="1:15" x14ac:dyDescent="0.2">
      <c r="A12" s="31">
        <f t="shared" si="2"/>
        <v>8</v>
      </c>
      <c r="B12" s="57">
        <v>43646</v>
      </c>
      <c r="C12" s="56"/>
      <c r="D12" s="14"/>
      <c r="E12" s="17"/>
      <c r="F12" s="18"/>
      <c r="G12" s="18"/>
      <c r="H12" s="5">
        <f t="shared" si="0"/>
        <v>0</v>
      </c>
      <c r="I12" s="19"/>
      <c r="J12" s="19"/>
      <c r="K12" s="19"/>
      <c r="L12" s="19"/>
      <c r="M12" s="19"/>
      <c r="N12" s="32">
        <f t="shared" si="1"/>
        <v>0</v>
      </c>
      <c r="O12" s="14"/>
    </row>
    <row r="13" spans="1:15" x14ac:dyDescent="0.2">
      <c r="A13" s="31">
        <f t="shared" si="2"/>
        <v>9</v>
      </c>
      <c r="B13" s="57">
        <v>43647</v>
      </c>
      <c r="C13" s="56" t="s">
        <v>123</v>
      </c>
      <c r="D13" s="14"/>
      <c r="E13" s="17">
        <v>120</v>
      </c>
      <c r="F13" s="18">
        <v>60</v>
      </c>
      <c r="G13" s="18"/>
      <c r="H13" s="5">
        <v>180</v>
      </c>
      <c r="I13" s="19"/>
      <c r="J13" s="19"/>
      <c r="K13" s="19"/>
      <c r="L13" s="19"/>
      <c r="M13" s="19"/>
      <c r="N13" s="32">
        <f t="shared" si="1"/>
        <v>180</v>
      </c>
      <c r="O13" s="14"/>
    </row>
    <row r="14" spans="1:15" x14ac:dyDescent="0.2">
      <c r="A14" s="31">
        <f t="shared" si="2"/>
        <v>10</v>
      </c>
      <c r="B14" s="57">
        <v>43648</v>
      </c>
      <c r="C14" s="56"/>
      <c r="D14" s="14"/>
      <c r="E14" s="17">
        <v>200</v>
      </c>
      <c r="F14" s="18"/>
      <c r="G14" s="18"/>
      <c r="H14" s="5">
        <v>200</v>
      </c>
      <c r="I14" s="19"/>
      <c r="J14" s="19"/>
      <c r="K14" s="19"/>
      <c r="L14" s="33"/>
      <c r="M14" s="19"/>
      <c r="N14" s="32">
        <f t="shared" si="1"/>
        <v>200</v>
      </c>
      <c r="O14" s="14"/>
    </row>
    <row r="15" spans="1:15" x14ac:dyDescent="0.2">
      <c r="A15" s="31">
        <f t="shared" si="2"/>
        <v>11</v>
      </c>
      <c r="B15" s="57">
        <v>43649</v>
      </c>
      <c r="C15" s="56"/>
      <c r="D15" s="14"/>
      <c r="E15" s="17">
        <v>200</v>
      </c>
      <c r="F15" s="18"/>
      <c r="G15" s="18"/>
      <c r="H15" s="5">
        <v>200</v>
      </c>
      <c r="I15" s="19"/>
      <c r="J15" s="19"/>
      <c r="K15" s="19"/>
      <c r="L15" s="19"/>
      <c r="M15" s="19"/>
      <c r="N15" s="32">
        <f t="shared" si="1"/>
        <v>200</v>
      </c>
      <c r="O15" s="14"/>
    </row>
    <row r="16" spans="1:15" x14ac:dyDescent="0.2">
      <c r="A16" s="31">
        <f t="shared" si="2"/>
        <v>12</v>
      </c>
      <c r="B16" s="57">
        <v>43650</v>
      </c>
      <c r="C16" s="16"/>
      <c r="D16" s="14"/>
      <c r="E16" s="17">
        <v>200</v>
      </c>
      <c r="F16" s="18"/>
      <c r="G16" s="18"/>
      <c r="H16" s="5">
        <v>200</v>
      </c>
      <c r="I16" s="19"/>
      <c r="J16" s="19"/>
      <c r="K16" s="19"/>
      <c r="L16" s="19"/>
      <c r="M16" s="19"/>
      <c r="N16" s="32">
        <f t="shared" si="1"/>
        <v>200</v>
      </c>
      <c r="O16" s="14"/>
    </row>
    <row r="17" spans="1:15" x14ac:dyDescent="0.2">
      <c r="A17" s="31">
        <f t="shared" si="2"/>
        <v>13</v>
      </c>
      <c r="B17" s="57">
        <v>43651</v>
      </c>
      <c r="C17" s="56" t="s">
        <v>124</v>
      </c>
      <c r="D17" s="14"/>
      <c r="E17" s="17">
        <v>200</v>
      </c>
      <c r="F17" s="18">
        <v>60</v>
      </c>
      <c r="G17" s="18"/>
      <c r="H17" s="5">
        <v>260</v>
      </c>
      <c r="I17" s="19"/>
      <c r="J17" s="19"/>
      <c r="K17" s="19"/>
      <c r="L17" s="19"/>
      <c r="M17" s="19"/>
      <c r="N17" s="32">
        <f t="shared" si="1"/>
        <v>260</v>
      </c>
      <c r="O17" s="14"/>
    </row>
    <row r="18" spans="1:15" x14ac:dyDescent="0.2">
      <c r="A18" s="31">
        <f t="shared" si="2"/>
        <v>14</v>
      </c>
      <c r="B18" s="57">
        <v>43652</v>
      </c>
      <c r="C18" s="16"/>
      <c r="D18" s="14"/>
      <c r="E18" s="17">
        <v>200</v>
      </c>
      <c r="F18" s="18">
        <v>60</v>
      </c>
      <c r="G18" s="18"/>
      <c r="H18" s="5">
        <v>260</v>
      </c>
      <c r="I18" s="19"/>
      <c r="J18" s="19"/>
      <c r="K18" s="19"/>
      <c r="L18" s="19"/>
      <c r="M18" s="19"/>
      <c r="N18" s="32">
        <f t="shared" si="1"/>
        <v>260</v>
      </c>
      <c r="O18" s="14"/>
    </row>
    <row r="19" spans="1:15" x14ac:dyDescent="0.2">
      <c r="A19" s="31">
        <f t="shared" si="2"/>
        <v>15</v>
      </c>
      <c r="B19" s="57">
        <v>43653</v>
      </c>
      <c r="C19" s="16"/>
      <c r="D19" s="14"/>
      <c r="E19" s="17"/>
      <c r="F19" s="18"/>
      <c r="G19" s="18"/>
      <c r="H19" s="5"/>
      <c r="I19" s="19"/>
      <c r="J19" s="19"/>
      <c r="K19" s="19"/>
      <c r="L19" s="19"/>
      <c r="M19" s="19"/>
      <c r="N19" s="32">
        <f t="shared" si="1"/>
        <v>0</v>
      </c>
      <c r="O19" s="14"/>
    </row>
    <row r="20" spans="1:15" x14ac:dyDescent="0.2">
      <c r="A20" s="31">
        <f t="shared" si="2"/>
        <v>16</v>
      </c>
      <c r="B20" s="57">
        <v>43654</v>
      </c>
      <c r="C20" s="16"/>
      <c r="D20" s="14"/>
      <c r="E20" s="17">
        <v>200</v>
      </c>
      <c r="F20" s="18">
        <v>60</v>
      </c>
      <c r="G20" s="18"/>
      <c r="H20" s="5">
        <v>260</v>
      </c>
      <c r="I20" s="19"/>
      <c r="J20" s="19"/>
      <c r="K20" s="19"/>
      <c r="L20" s="19"/>
      <c r="M20" s="19"/>
      <c r="N20" s="32">
        <f t="shared" si="1"/>
        <v>260</v>
      </c>
      <c r="O20" s="14"/>
    </row>
    <row r="21" spans="1:15" x14ac:dyDescent="0.2">
      <c r="A21" s="31">
        <f t="shared" si="2"/>
        <v>17</v>
      </c>
      <c r="B21" s="57">
        <v>43655</v>
      </c>
      <c r="C21" s="16"/>
      <c r="D21" s="14"/>
      <c r="E21" s="17">
        <v>200</v>
      </c>
      <c r="F21" s="18">
        <v>60</v>
      </c>
      <c r="G21" s="18"/>
      <c r="H21" s="5">
        <v>200</v>
      </c>
      <c r="I21" s="19"/>
      <c r="J21" s="19"/>
      <c r="K21" s="19"/>
      <c r="L21" s="19"/>
      <c r="M21" s="19"/>
      <c r="N21" s="32">
        <f t="shared" si="1"/>
        <v>200</v>
      </c>
      <c r="O21" s="14"/>
    </row>
    <row r="22" spans="1:15" x14ac:dyDescent="0.2">
      <c r="A22" s="31">
        <f t="shared" si="2"/>
        <v>18</v>
      </c>
      <c r="B22" s="57">
        <v>43656</v>
      </c>
      <c r="C22" s="16"/>
      <c r="D22" s="14"/>
      <c r="E22" s="17">
        <v>200</v>
      </c>
      <c r="F22" s="18">
        <v>60</v>
      </c>
      <c r="G22" s="18"/>
      <c r="H22" s="5">
        <v>260</v>
      </c>
      <c r="I22" s="19"/>
      <c r="J22" s="19"/>
      <c r="K22" s="19"/>
      <c r="L22" s="19"/>
      <c r="M22" s="19"/>
      <c r="N22" s="32">
        <f t="shared" si="1"/>
        <v>260</v>
      </c>
      <c r="O22" s="14"/>
    </row>
    <row r="23" spans="1:15" x14ac:dyDescent="0.2">
      <c r="A23" s="31">
        <f t="shared" si="2"/>
        <v>19</v>
      </c>
      <c r="B23" s="57"/>
      <c r="C23" s="16"/>
      <c r="D23" s="14"/>
      <c r="E23" s="17"/>
      <c r="F23" s="18"/>
      <c r="G23" s="18"/>
      <c r="H23" s="5">
        <f t="shared" si="0"/>
        <v>0</v>
      </c>
      <c r="I23" s="19"/>
      <c r="J23" s="19"/>
      <c r="K23" s="19"/>
      <c r="L23" s="19"/>
      <c r="M23" s="19"/>
      <c r="N23" s="32"/>
      <c r="O23" s="14"/>
    </row>
    <row r="24" spans="1:15" x14ac:dyDescent="0.2">
      <c r="A24" s="31">
        <f t="shared" si="2"/>
        <v>20</v>
      </c>
      <c r="B24" s="57"/>
      <c r="C24" s="16"/>
      <c r="D24" s="14"/>
      <c r="E24" s="17"/>
      <c r="F24" s="18"/>
      <c r="G24" s="18"/>
      <c r="H24" s="5">
        <f t="shared" si="0"/>
        <v>0</v>
      </c>
      <c r="I24" s="19"/>
      <c r="J24" s="19"/>
      <c r="K24" s="19"/>
      <c r="L24" s="19"/>
      <c r="M24" s="19"/>
      <c r="N24" s="32">
        <f t="shared" si="1"/>
        <v>0</v>
      </c>
      <c r="O24" s="14"/>
    </row>
    <row r="25" spans="1:15" x14ac:dyDescent="0.2">
      <c r="A25" s="31">
        <f t="shared" si="2"/>
        <v>21</v>
      </c>
      <c r="B25" s="15"/>
      <c r="C25" s="16"/>
      <c r="D25" s="14"/>
      <c r="E25" s="17"/>
      <c r="F25" s="18"/>
      <c r="G25" s="18"/>
      <c r="H25" s="5">
        <f t="shared" si="0"/>
        <v>0</v>
      </c>
      <c r="I25" s="19"/>
      <c r="J25" s="19"/>
      <c r="K25" s="19"/>
      <c r="L25" s="19"/>
      <c r="M25" s="19"/>
      <c r="N25" s="32">
        <f t="shared" si="1"/>
        <v>0</v>
      </c>
      <c r="O25" s="14"/>
    </row>
    <row r="26" spans="1:15" x14ac:dyDescent="0.2">
      <c r="A26" s="31">
        <f t="shared" si="2"/>
        <v>22</v>
      </c>
      <c r="B26" s="58"/>
      <c r="C26" s="23"/>
      <c r="D26" s="14"/>
      <c r="E26" s="17"/>
      <c r="F26" s="18"/>
      <c r="G26" s="18"/>
      <c r="H26" s="5">
        <f t="shared" si="0"/>
        <v>0</v>
      </c>
      <c r="I26" s="19"/>
      <c r="J26" s="19"/>
      <c r="K26" s="19"/>
      <c r="L26" s="19"/>
      <c r="M26" s="19"/>
      <c r="N26" s="32">
        <f t="shared" si="1"/>
        <v>0</v>
      </c>
      <c r="O26" s="14"/>
    </row>
    <row r="27" spans="1:15" x14ac:dyDescent="0.2">
      <c r="A27" s="31">
        <f t="shared" si="2"/>
        <v>23</v>
      </c>
      <c r="B27" s="58"/>
      <c r="C27" s="23"/>
      <c r="D27" s="14"/>
      <c r="E27" s="17"/>
      <c r="F27" s="18"/>
      <c r="G27" s="18"/>
      <c r="H27" s="5">
        <f t="shared" si="0"/>
        <v>0</v>
      </c>
      <c r="I27" s="19"/>
      <c r="J27" s="19"/>
      <c r="K27" s="19"/>
      <c r="L27" s="19"/>
      <c r="M27" s="19"/>
      <c r="N27" s="32">
        <f t="shared" si="1"/>
        <v>0</v>
      </c>
      <c r="O27" s="14"/>
    </row>
    <row r="28" spans="1:15" x14ac:dyDescent="0.2">
      <c r="A28" s="31">
        <f t="shared" si="2"/>
        <v>24</v>
      </c>
      <c r="B28" s="58"/>
      <c r="C28" s="23"/>
      <c r="D28" s="14"/>
      <c r="E28" s="17"/>
      <c r="F28" s="18"/>
      <c r="G28" s="18"/>
      <c r="H28" s="5">
        <f t="shared" si="0"/>
        <v>0</v>
      </c>
      <c r="I28" s="19"/>
      <c r="J28" s="19"/>
      <c r="K28" s="19"/>
      <c r="L28" s="19"/>
      <c r="M28" s="19"/>
      <c r="N28" s="32">
        <f t="shared" si="1"/>
        <v>0</v>
      </c>
      <c r="O28" s="14"/>
    </row>
    <row r="29" spans="1:15" x14ac:dyDescent="0.2">
      <c r="A29" s="31">
        <f t="shared" si="2"/>
        <v>25</v>
      </c>
      <c r="B29" s="58"/>
      <c r="C29" s="23"/>
      <c r="D29" s="14"/>
      <c r="E29" s="17"/>
      <c r="F29" s="18"/>
      <c r="G29" s="18"/>
      <c r="H29" s="5">
        <f t="shared" si="0"/>
        <v>0</v>
      </c>
      <c r="I29" s="19"/>
      <c r="J29" s="19"/>
      <c r="K29" s="19"/>
      <c r="L29" s="19"/>
      <c r="M29" s="19"/>
      <c r="N29" s="32">
        <f t="shared" si="1"/>
        <v>0</v>
      </c>
      <c r="O29" s="14"/>
    </row>
    <row r="30" spans="1:15" x14ac:dyDescent="0.2">
      <c r="A30" s="31">
        <f t="shared" si="2"/>
        <v>26</v>
      </c>
      <c r="B30" s="58"/>
      <c r="C30" s="23"/>
      <c r="D30" s="14"/>
      <c r="E30" s="17"/>
      <c r="F30" s="18"/>
      <c r="G30" s="18"/>
      <c r="H30" s="5">
        <f t="shared" si="0"/>
        <v>0</v>
      </c>
      <c r="I30" s="19"/>
      <c r="J30" s="19"/>
      <c r="K30" s="19"/>
      <c r="L30" s="19"/>
      <c r="M30" s="19"/>
      <c r="N30" s="32">
        <f t="shared" si="1"/>
        <v>0</v>
      </c>
      <c r="O30" s="14"/>
    </row>
    <row r="31" spans="1:15" x14ac:dyDescent="0.2">
      <c r="A31" s="31">
        <f t="shared" si="2"/>
        <v>27</v>
      </c>
      <c r="B31" s="58"/>
      <c r="C31" s="23"/>
      <c r="D31" s="14"/>
      <c r="E31" s="17"/>
      <c r="F31" s="18"/>
      <c r="G31" s="18"/>
      <c r="H31" s="5">
        <f t="shared" si="0"/>
        <v>0</v>
      </c>
      <c r="I31" s="19"/>
      <c r="J31" s="19"/>
      <c r="K31" s="19"/>
      <c r="L31" s="19"/>
      <c r="M31" s="19"/>
      <c r="N31" s="32">
        <f t="shared" si="1"/>
        <v>0</v>
      </c>
      <c r="O31" s="14"/>
    </row>
    <row r="32" spans="1:15" x14ac:dyDescent="0.2">
      <c r="A32" s="31">
        <f t="shared" si="2"/>
        <v>28</v>
      </c>
      <c r="B32" s="58"/>
      <c r="C32" s="23"/>
      <c r="D32" s="14"/>
      <c r="E32" s="17"/>
      <c r="F32" s="18"/>
      <c r="G32" s="18"/>
      <c r="H32" s="5">
        <f t="shared" si="0"/>
        <v>0</v>
      </c>
      <c r="I32" s="19"/>
      <c r="J32" s="19"/>
      <c r="K32" s="19"/>
      <c r="L32" s="19"/>
      <c r="M32" s="19"/>
      <c r="N32" s="32">
        <f t="shared" si="1"/>
        <v>0</v>
      </c>
      <c r="O32" s="14"/>
    </row>
    <row r="33" spans="1:15" x14ac:dyDescent="0.2">
      <c r="A33" s="31">
        <f t="shared" si="2"/>
        <v>29</v>
      </c>
      <c r="B33" s="58"/>
      <c r="C33" s="23"/>
      <c r="D33" s="14"/>
      <c r="E33" s="17"/>
      <c r="F33" s="18"/>
      <c r="G33" s="18"/>
      <c r="H33" s="5">
        <f t="shared" si="0"/>
        <v>0</v>
      </c>
      <c r="I33" s="19" t="s">
        <v>126</v>
      </c>
      <c r="J33" s="19"/>
      <c r="K33" s="19"/>
      <c r="L33" s="19"/>
      <c r="M33" s="19"/>
      <c r="N33" s="32">
        <f>SUM(N6:N22)</f>
        <v>3140</v>
      </c>
      <c r="O33" s="14"/>
    </row>
  </sheetData>
  <customSheetViews>
    <customSheetView guid="{271C6151-21AB-456E-9D7E-FBBEA714E435}" topLeftCell="A3">
      <selection activeCell="I33" sqref="I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"/>
  <sheetViews>
    <sheetView topLeftCell="A44" workbookViewId="0">
      <selection activeCell="C58" sqref="C58:C60"/>
    </sheetView>
  </sheetViews>
  <sheetFormatPr defaultRowHeight="12.75" x14ac:dyDescent="0.2"/>
  <cols>
    <col min="1" max="1" width="11.85546875" style="8" customWidth="1"/>
    <col min="2" max="2" width="24.140625" style="8" bestFit="1" customWidth="1"/>
    <col min="3" max="3" width="6.28515625" bestFit="1" customWidth="1"/>
    <col min="4" max="5" width="28.5703125" bestFit="1" customWidth="1"/>
  </cols>
  <sheetData>
    <row r="1" spans="1:4" x14ac:dyDescent="0.2">
      <c r="A1" s="7" t="s">
        <v>49</v>
      </c>
      <c r="B1" s="7"/>
    </row>
    <row r="2" spans="1:4" x14ac:dyDescent="0.2">
      <c r="A2" s="8" t="s">
        <v>41</v>
      </c>
      <c r="B2" s="8" t="s">
        <v>109</v>
      </c>
    </row>
    <row r="3" spans="1:4" x14ac:dyDescent="0.2">
      <c r="A3" s="8" t="s">
        <v>42</v>
      </c>
      <c r="B3" s="8" t="s">
        <v>112</v>
      </c>
    </row>
    <row r="4" spans="1:4" x14ac:dyDescent="0.2">
      <c r="A4" s="8" t="s">
        <v>43</v>
      </c>
      <c r="B4" s="8" t="s">
        <v>107</v>
      </c>
    </row>
    <row r="5" spans="1:4" x14ac:dyDescent="0.2">
      <c r="A5" s="8" t="s">
        <v>44</v>
      </c>
      <c r="B5" s="8" t="s">
        <v>113</v>
      </c>
    </row>
    <row r="6" spans="1:4" x14ac:dyDescent="0.2">
      <c r="A6" s="8" t="s">
        <v>40</v>
      </c>
      <c r="B6" s="8" t="s">
        <v>106</v>
      </c>
    </row>
    <row r="7" spans="1:4" x14ac:dyDescent="0.2">
      <c r="A7" s="8" t="s">
        <v>45</v>
      </c>
      <c r="B7" s="8" t="s">
        <v>108</v>
      </c>
    </row>
    <row r="8" spans="1:4" x14ac:dyDescent="0.2">
      <c r="A8" s="8" t="s">
        <v>46</v>
      </c>
      <c r="B8" s="8" t="s">
        <v>111</v>
      </c>
    </row>
    <row r="9" spans="1:4" x14ac:dyDescent="0.2">
      <c r="A9" s="8" t="s">
        <v>47</v>
      </c>
      <c r="B9" s="8" t="s">
        <v>110</v>
      </c>
    </row>
    <row r="10" spans="1:4" x14ac:dyDescent="0.2">
      <c r="A10" s="8" t="s">
        <v>48</v>
      </c>
      <c r="B10" s="8" t="s">
        <v>114</v>
      </c>
    </row>
    <row r="13" spans="1:4" x14ac:dyDescent="0.2">
      <c r="A13" s="8" t="s">
        <v>41</v>
      </c>
      <c r="B13" s="6" t="s">
        <v>50</v>
      </c>
      <c r="C13" s="6" t="s">
        <v>51</v>
      </c>
      <c r="D13" s="6" t="s">
        <v>52</v>
      </c>
    </row>
    <row r="14" spans="1:4" x14ac:dyDescent="0.2">
      <c r="A14" s="8" t="s">
        <v>42</v>
      </c>
      <c r="B14" s="6" t="s">
        <v>50</v>
      </c>
      <c r="C14" s="6" t="s">
        <v>53</v>
      </c>
      <c r="D14" s="6" t="s">
        <v>54</v>
      </c>
    </row>
    <row r="15" spans="1:4" x14ac:dyDescent="0.2">
      <c r="A15" s="8" t="s">
        <v>43</v>
      </c>
      <c r="B15" s="6" t="s">
        <v>50</v>
      </c>
      <c r="C15" s="6" t="s">
        <v>55</v>
      </c>
      <c r="D15" s="6" t="s">
        <v>56</v>
      </c>
    </row>
    <row r="16" spans="1:4" x14ac:dyDescent="0.2">
      <c r="A16" s="8" t="s">
        <v>44</v>
      </c>
      <c r="B16" s="6" t="s">
        <v>50</v>
      </c>
      <c r="C16" s="6" t="s">
        <v>57</v>
      </c>
      <c r="D16" s="6" t="s">
        <v>58</v>
      </c>
    </row>
    <row r="17" spans="1:4" x14ac:dyDescent="0.2">
      <c r="A17" s="8" t="s">
        <v>40</v>
      </c>
      <c r="B17" s="6" t="s">
        <v>50</v>
      </c>
      <c r="C17" s="6" t="s">
        <v>59</v>
      </c>
      <c r="D17" s="6" t="s">
        <v>60</v>
      </c>
    </row>
    <row r="18" spans="1:4" x14ac:dyDescent="0.2">
      <c r="A18" s="8" t="s">
        <v>45</v>
      </c>
      <c r="B18" s="6" t="s">
        <v>50</v>
      </c>
      <c r="C18" s="6" t="s">
        <v>61</v>
      </c>
      <c r="D18" s="6" t="s">
        <v>62</v>
      </c>
    </row>
    <row r="19" spans="1:4" x14ac:dyDescent="0.2">
      <c r="A19" s="8" t="s">
        <v>46</v>
      </c>
      <c r="B19" s="6" t="s">
        <v>50</v>
      </c>
      <c r="C19" s="6" t="s">
        <v>63</v>
      </c>
      <c r="D19" s="6" t="s">
        <v>64</v>
      </c>
    </row>
    <row r="20" spans="1:4" x14ac:dyDescent="0.2">
      <c r="A20" s="8" t="s">
        <v>47</v>
      </c>
      <c r="B20" s="6" t="s">
        <v>50</v>
      </c>
      <c r="C20" s="6" t="s">
        <v>65</v>
      </c>
      <c r="D20" s="6" t="s">
        <v>66</v>
      </c>
    </row>
    <row r="21" spans="1:4" x14ac:dyDescent="0.2">
      <c r="A21" s="8" t="s">
        <v>48</v>
      </c>
      <c r="B21" s="6" t="s">
        <v>50</v>
      </c>
      <c r="C21" s="6" t="s">
        <v>67</v>
      </c>
      <c r="D21" s="6" t="s">
        <v>68</v>
      </c>
    </row>
    <row r="22" spans="1:4" x14ac:dyDescent="0.2">
      <c r="A22" s="8" t="s">
        <v>41</v>
      </c>
      <c r="B22" s="6" t="s">
        <v>50</v>
      </c>
      <c r="C22" s="6" t="s">
        <v>69</v>
      </c>
      <c r="D22" s="6" t="s">
        <v>70</v>
      </c>
    </row>
    <row r="23" spans="1:4" x14ac:dyDescent="0.2">
      <c r="A23" s="8" t="s">
        <v>42</v>
      </c>
      <c r="B23" s="6" t="s">
        <v>50</v>
      </c>
      <c r="C23" s="6" t="s">
        <v>71</v>
      </c>
      <c r="D23" s="6" t="s">
        <v>72</v>
      </c>
    </row>
    <row r="24" spans="1:4" x14ac:dyDescent="0.2">
      <c r="A24" s="8" t="s">
        <v>43</v>
      </c>
      <c r="B24" s="6" t="s">
        <v>50</v>
      </c>
      <c r="C24" s="6" t="s">
        <v>73</v>
      </c>
      <c r="D24" s="6" t="s">
        <v>74</v>
      </c>
    </row>
    <row r="25" spans="1:4" x14ac:dyDescent="0.2">
      <c r="A25" s="8" t="s">
        <v>44</v>
      </c>
      <c r="B25" s="6" t="s">
        <v>50</v>
      </c>
      <c r="C25" s="6" t="s">
        <v>75</v>
      </c>
      <c r="D25" s="6" t="s">
        <v>76</v>
      </c>
    </row>
    <row r="26" spans="1:4" x14ac:dyDescent="0.2">
      <c r="A26" s="8" t="s">
        <v>40</v>
      </c>
      <c r="B26" s="6" t="s">
        <v>50</v>
      </c>
      <c r="C26" s="6" t="s">
        <v>77</v>
      </c>
      <c r="D26" s="6" t="s">
        <v>78</v>
      </c>
    </row>
    <row r="27" spans="1:4" x14ac:dyDescent="0.2">
      <c r="A27" s="8" t="s">
        <v>45</v>
      </c>
      <c r="B27" s="6" t="s">
        <v>50</v>
      </c>
      <c r="C27" s="6" t="s">
        <v>79</v>
      </c>
      <c r="D27" s="6" t="s">
        <v>80</v>
      </c>
    </row>
    <row r="28" spans="1:4" x14ac:dyDescent="0.2">
      <c r="A28" s="8" t="s">
        <v>46</v>
      </c>
      <c r="B28" s="6" t="s">
        <v>50</v>
      </c>
      <c r="C28" s="6" t="s">
        <v>81</v>
      </c>
      <c r="D28" s="6" t="s">
        <v>82</v>
      </c>
    </row>
    <row r="29" spans="1:4" x14ac:dyDescent="0.2">
      <c r="A29" s="8" t="s">
        <v>47</v>
      </c>
      <c r="B29" s="6" t="s">
        <v>50</v>
      </c>
      <c r="C29" s="6" t="s">
        <v>83</v>
      </c>
      <c r="D29" s="6" t="s">
        <v>84</v>
      </c>
    </row>
    <row r="30" spans="1:4" x14ac:dyDescent="0.2">
      <c r="A30" s="8" t="s">
        <v>48</v>
      </c>
      <c r="B30" s="6" t="s">
        <v>50</v>
      </c>
      <c r="C30" s="6" t="s">
        <v>85</v>
      </c>
      <c r="D30" s="6" t="s">
        <v>86</v>
      </c>
    </row>
    <row r="31" spans="1:4" x14ac:dyDescent="0.2">
      <c r="A31" s="8" t="s">
        <v>42</v>
      </c>
      <c r="B31" s="6" t="s">
        <v>50</v>
      </c>
      <c r="C31" s="6" t="s">
        <v>87</v>
      </c>
      <c r="D31" s="6" t="s">
        <v>88</v>
      </c>
    </row>
    <row r="32" spans="1:4" x14ac:dyDescent="0.2">
      <c r="A32" s="8" t="s">
        <v>43</v>
      </c>
      <c r="B32" s="6" t="s">
        <v>50</v>
      </c>
      <c r="C32" s="6" t="s">
        <v>89</v>
      </c>
      <c r="D32" s="6" t="s">
        <v>90</v>
      </c>
    </row>
    <row r="33" spans="1:4" x14ac:dyDescent="0.2">
      <c r="A33" s="8" t="s">
        <v>44</v>
      </c>
      <c r="B33" s="6" t="s">
        <v>50</v>
      </c>
      <c r="C33" s="6" t="s">
        <v>91</v>
      </c>
      <c r="D33" s="6" t="s">
        <v>92</v>
      </c>
    </row>
    <row r="34" spans="1:4" x14ac:dyDescent="0.2">
      <c r="A34" s="8" t="s">
        <v>40</v>
      </c>
      <c r="B34" s="6" t="s">
        <v>50</v>
      </c>
      <c r="C34" s="6" t="s">
        <v>93</v>
      </c>
      <c r="D34" s="6" t="s">
        <v>94</v>
      </c>
    </row>
    <row r="35" spans="1:4" x14ac:dyDescent="0.2">
      <c r="A35" s="8" t="s">
        <v>45</v>
      </c>
      <c r="B35" s="6" t="s">
        <v>50</v>
      </c>
      <c r="C35" s="6" t="s">
        <v>95</v>
      </c>
      <c r="D35" s="6" t="s">
        <v>96</v>
      </c>
    </row>
    <row r="36" spans="1:4" x14ac:dyDescent="0.2">
      <c r="A36" s="8" t="s">
        <v>46</v>
      </c>
      <c r="B36" s="6" t="s">
        <v>50</v>
      </c>
      <c r="C36" s="6" t="s">
        <v>97</v>
      </c>
      <c r="D36" s="6" t="s">
        <v>98</v>
      </c>
    </row>
    <row r="37" spans="1:4" x14ac:dyDescent="0.2">
      <c r="A37" s="8" t="s">
        <v>47</v>
      </c>
      <c r="B37" s="6" t="s">
        <v>50</v>
      </c>
      <c r="C37" s="6" t="s">
        <v>99</v>
      </c>
      <c r="D37" s="6" t="s">
        <v>100</v>
      </c>
    </row>
    <row r="38" spans="1:4" x14ac:dyDescent="0.2">
      <c r="A38" s="8" t="s">
        <v>48</v>
      </c>
      <c r="B38" s="6" t="s">
        <v>50</v>
      </c>
      <c r="C38" s="6" t="s">
        <v>101</v>
      </c>
      <c r="D38" s="6" t="s">
        <v>102</v>
      </c>
    </row>
    <row r="39" spans="1:4" x14ac:dyDescent="0.2">
      <c r="A39" s="8" t="s">
        <v>41</v>
      </c>
      <c r="B39" s="6" t="s">
        <v>50</v>
      </c>
      <c r="C39" s="6" t="s">
        <v>103</v>
      </c>
      <c r="D39" s="6" t="s">
        <v>104</v>
      </c>
    </row>
    <row r="42" spans="1:4" x14ac:dyDescent="0.2">
      <c r="A42" s="8" t="s">
        <v>41</v>
      </c>
      <c r="B42" s="6" t="s">
        <v>50</v>
      </c>
      <c r="C42" s="6" t="s">
        <v>51</v>
      </c>
      <c r="D42" s="6" t="s">
        <v>52</v>
      </c>
    </row>
    <row r="43" spans="1:4" x14ac:dyDescent="0.2">
      <c r="A43" s="8" t="s">
        <v>41</v>
      </c>
      <c r="B43" s="6" t="s">
        <v>50</v>
      </c>
      <c r="C43" s="6" t="s">
        <v>69</v>
      </c>
      <c r="D43" s="6" t="s">
        <v>70</v>
      </c>
    </row>
    <row r="44" spans="1:4" x14ac:dyDescent="0.2">
      <c r="A44" s="8" t="s">
        <v>41</v>
      </c>
      <c r="B44" s="6" t="s">
        <v>50</v>
      </c>
      <c r="C44" s="6" t="s">
        <v>103</v>
      </c>
      <c r="D44" s="6" t="s">
        <v>104</v>
      </c>
    </row>
    <row r="45" spans="1:4" x14ac:dyDescent="0.2">
      <c r="B45" s="6"/>
      <c r="C45" s="6"/>
      <c r="D45" s="6"/>
    </row>
    <row r="46" spans="1:4" x14ac:dyDescent="0.2">
      <c r="A46" s="8" t="s">
        <v>42</v>
      </c>
      <c r="B46" s="6" t="s">
        <v>50</v>
      </c>
      <c r="C46" s="6" t="s">
        <v>53</v>
      </c>
      <c r="D46" s="6" t="s">
        <v>54</v>
      </c>
    </row>
    <row r="47" spans="1:4" x14ac:dyDescent="0.2">
      <c r="A47" s="8" t="s">
        <v>42</v>
      </c>
      <c r="B47" s="6" t="s">
        <v>50</v>
      </c>
      <c r="C47" s="6" t="s">
        <v>71</v>
      </c>
      <c r="D47" s="6" t="s">
        <v>72</v>
      </c>
    </row>
    <row r="48" spans="1:4" x14ac:dyDescent="0.2">
      <c r="A48" s="8" t="s">
        <v>42</v>
      </c>
      <c r="B48" s="6" t="s">
        <v>50</v>
      </c>
      <c r="C48" s="6" t="s">
        <v>87</v>
      </c>
      <c r="D48" s="6" t="s">
        <v>88</v>
      </c>
    </row>
    <row r="49" spans="1:4" x14ac:dyDescent="0.2">
      <c r="B49" s="6"/>
      <c r="C49" s="6"/>
      <c r="D49" s="6"/>
    </row>
    <row r="50" spans="1:4" x14ac:dyDescent="0.2">
      <c r="A50" s="8" t="s">
        <v>43</v>
      </c>
      <c r="B50" s="6" t="s">
        <v>50</v>
      </c>
      <c r="C50" s="6" t="s">
        <v>55</v>
      </c>
      <c r="D50" s="6" t="s">
        <v>56</v>
      </c>
    </row>
    <row r="51" spans="1:4" x14ac:dyDescent="0.2">
      <c r="A51" s="8" t="s">
        <v>43</v>
      </c>
      <c r="B51" s="6" t="s">
        <v>50</v>
      </c>
      <c r="C51" s="6" t="s">
        <v>73</v>
      </c>
      <c r="D51" s="6" t="s">
        <v>74</v>
      </c>
    </row>
    <row r="52" spans="1:4" x14ac:dyDescent="0.2">
      <c r="A52" s="8" t="s">
        <v>43</v>
      </c>
      <c r="B52" s="6" t="s">
        <v>50</v>
      </c>
      <c r="C52" s="6" t="s">
        <v>89</v>
      </c>
      <c r="D52" s="6" t="s">
        <v>90</v>
      </c>
    </row>
    <row r="53" spans="1:4" x14ac:dyDescent="0.2">
      <c r="B53" s="6"/>
      <c r="C53" s="6"/>
      <c r="D53" s="6"/>
    </row>
    <row r="54" spans="1:4" x14ac:dyDescent="0.2">
      <c r="A54" s="8" t="s">
        <v>44</v>
      </c>
      <c r="B54" s="6" t="s">
        <v>50</v>
      </c>
      <c r="C54" s="6" t="s">
        <v>57</v>
      </c>
      <c r="D54" s="6" t="s">
        <v>58</v>
      </c>
    </row>
    <row r="55" spans="1:4" x14ac:dyDescent="0.2">
      <c r="A55" s="8" t="s">
        <v>44</v>
      </c>
      <c r="B55" s="6" t="s">
        <v>50</v>
      </c>
      <c r="C55" s="6" t="s">
        <v>75</v>
      </c>
      <c r="D55" s="6" t="s">
        <v>76</v>
      </c>
    </row>
    <row r="56" spans="1:4" x14ac:dyDescent="0.2">
      <c r="A56" s="8" t="s">
        <v>44</v>
      </c>
      <c r="B56" s="6" t="s">
        <v>50</v>
      </c>
      <c r="C56" s="6" t="s">
        <v>91</v>
      </c>
      <c r="D56" s="6" t="s">
        <v>92</v>
      </c>
    </row>
    <row r="57" spans="1:4" x14ac:dyDescent="0.2">
      <c r="B57" s="6"/>
      <c r="C57" s="6"/>
      <c r="D57" s="6"/>
    </row>
    <row r="58" spans="1:4" x14ac:dyDescent="0.2">
      <c r="A58" s="8" t="s">
        <v>40</v>
      </c>
      <c r="B58" s="6" t="s">
        <v>50</v>
      </c>
      <c r="C58" s="6" t="s">
        <v>59</v>
      </c>
      <c r="D58" s="6" t="s">
        <v>60</v>
      </c>
    </row>
    <row r="59" spans="1:4" x14ac:dyDescent="0.2">
      <c r="A59" s="8" t="s">
        <v>40</v>
      </c>
      <c r="B59" s="6" t="s">
        <v>50</v>
      </c>
      <c r="C59" s="6" t="s">
        <v>77</v>
      </c>
      <c r="D59" s="6" t="s">
        <v>78</v>
      </c>
    </row>
    <row r="60" spans="1:4" x14ac:dyDescent="0.2">
      <c r="A60" s="8" t="s">
        <v>40</v>
      </c>
      <c r="B60" s="6" t="s">
        <v>50</v>
      </c>
      <c r="C60" s="6" t="s">
        <v>93</v>
      </c>
      <c r="D60" s="6" t="s">
        <v>94</v>
      </c>
    </row>
    <row r="61" spans="1:4" x14ac:dyDescent="0.2">
      <c r="B61" s="6"/>
      <c r="C61" s="6"/>
      <c r="D61" s="6"/>
    </row>
    <row r="62" spans="1:4" x14ac:dyDescent="0.2">
      <c r="A62" s="8" t="s">
        <v>45</v>
      </c>
      <c r="B62" s="6" t="s">
        <v>50</v>
      </c>
      <c r="C62" s="6" t="s">
        <v>61</v>
      </c>
      <c r="D62" s="6" t="s">
        <v>62</v>
      </c>
    </row>
    <row r="63" spans="1:4" x14ac:dyDescent="0.2">
      <c r="A63" s="8" t="s">
        <v>45</v>
      </c>
      <c r="B63" s="6" t="s">
        <v>50</v>
      </c>
      <c r="C63" s="6" t="s">
        <v>79</v>
      </c>
      <c r="D63" s="6" t="s">
        <v>80</v>
      </c>
    </row>
    <row r="64" spans="1:4" x14ac:dyDescent="0.2">
      <c r="A64" s="8" t="s">
        <v>45</v>
      </c>
      <c r="B64" s="6" t="s">
        <v>50</v>
      </c>
      <c r="C64" s="6" t="s">
        <v>95</v>
      </c>
      <c r="D64" s="6" t="s">
        <v>96</v>
      </c>
    </row>
    <row r="65" spans="1:4" x14ac:dyDescent="0.2">
      <c r="B65" s="6"/>
      <c r="C65" s="6"/>
      <c r="D65" s="6"/>
    </row>
    <row r="66" spans="1:4" x14ac:dyDescent="0.2">
      <c r="A66" s="8" t="s">
        <v>46</v>
      </c>
      <c r="B66" s="6" t="s">
        <v>50</v>
      </c>
      <c r="C66" s="6" t="s">
        <v>63</v>
      </c>
      <c r="D66" s="6" t="s">
        <v>64</v>
      </c>
    </row>
    <row r="67" spans="1:4" x14ac:dyDescent="0.2">
      <c r="A67" s="8" t="s">
        <v>46</v>
      </c>
      <c r="B67" s="6" t="s">
        <v>50</v>
      </c>
      <c r="C67" s="6" t="s">
        <v>81</v>
      </c>
      <c r="D67" s="6" t="s">
        <v>82</v>
      </c>
    </row>
    <row r="68" spans="1:4" x14ac:dyDescent="0.2">
      <c r="A68" s="8" t="s">
        <v>46</v>
      </c>
      <c r="B68" s="6" t="s">
        <v>50</v>
      </c>
      <c r="C68" s="6" t="s">
        <v>97</v>
      </c>
      <c r="D68" s="6" t="s">
        <v>98</v>
      </c>
    </row>
    <row r="69" spans="1:4" x14ac:dyDescent="0.2">
      <c r="B69" s="6"/>
      <c r="C69" s="6"/>
      <c r="D69" s="6"/>
    </row>
    <row r="70" spans="1:4" x14ac:dyDescent="0.2">
      <c r="A70" s="8" t="s">
        <v>47</v>
      </c>
      <c r="B70" s="6" t="s">
        <v>50</v>
      </c>
      <c r="C70" s="6" t="s">
        <v>65</v>
      </c>
      <c r="D70" s="6" t="s">
        <v>66</v>
      </c>
    </row>
    <row r="71" spans="1:4" x14ac:dyDescent="0.2">
      <c r="A71" s="8" t="s">
        <v>47</v>
      </c>
      <c r="B71" s="6" t="s">
        <v>50</v>
      </c>
      <c r="C71" s="6" t="s">
        <v>83</v>
      </c>
      <c r="D71" s="6" t="s">
        <v>84</v>
      </c>
    </row>
    <row r="72" spans="1:4" x14ac:dyDescent="0.2">
      <c r="A72" s="8" t="s">
        <v>47</v>
      </c>
      <c r="B72" s="6" t="s">
        <v>50</v>
      </c>
      <c r="C72" s="6" t="s">
        <v>99</v>
      </c>
      <c r="D72" s="6" t="s">
        <v>100</v>
      </c>
    </row>
    <row r="73" spans="1:4" x14ac:dyDescent="0.2">
      <c r="B73" s="6"/>
      <c r="C73" s="6"/>
      <c r="D73" s="6"/>
    </row>
    <row r="74" spans="1:4" x14ac:dyDescent="0.2">
      <c r="A74" s="8" t="s">
        <v>48</v>
      </c>
      <c r="B74" s="6" t="s">
        <v>50</v>
      </c>
      <c r="C74" s="6" t="s">
        <v>67</v>
      </c>
      <c r="D74" s="6" t="s">
        <v>68</v>
      </c>
    </row>
    <row r="75" spans="1:4" x14ac:dyDescent="0.2">
      <c r="A75" s="8" t="s">
        <v>48</v>
      </c>
      <c r="B75" s="6" t="s">
        <v>50</v>
      </c>
      <c r="C75" s="6" t="s">
        <v>85</v>
      </c>
      <c r="D75" s="6" t="s">
        <v>86</v>
      </c>
    </row>
    <row r="76" spans="1:4" x14ac:dyDescent="0.2">
      <c r="A76" s="8" t="s">
        <v>48</v>
      </c>
      <c r="B76" s="6" t="s">
        <v>50</v>
      </c>
      <c r="C76" s="6" t="s">
        <v>101</v>
      </c>
      <c r="D76" s="6" t="s">
        <v>102</v>
      </c>
    </row>
  </sheetData>
  <customSheetViews>
    <customSheetView guid="{271C6151-21AB-456E-9D7E-FBBEA714E435}" state="hidden" topLeftCell="A44">
      <selection activeCell="C58" sqref="C58:C60"/>
      <pageMargins left="0.7" right="0.7" top="0.75" bottom="0.75" header="0.3" footer="0.3"/>
    </customSheetView>
    <customSheetView guid="{AE5B6E33-D665-4094-B85E-C1DB58D05A0E}" state="hidden" topLeftCell="A44">
      <selection activeCell="C58" sqref="C58:C6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01</vt:lpstr>
      <vt:lpstr>Sheet1</vt:lpstr>
      <vt:lpstr>Code_Details</vt:lpstr>
      <vt:lpstr>OPERATION</vt:lpstr>
      <vt:lpstr>'01'!Print_Area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prateek luthra</dc:creator>
  <cp:lastModifiedBy>GAURAV AGGARWAL</cp:lastModifiedBy>
  <cp:lastPrinted>2019-03-14T04:39:32Z</cp:lastPrinted>
  <dcterms:created xsi:type="dcterms:W3CDTF">1996-10-14T23:33:28Z</dcterms:created>
  <dcterms:modified xsi:type="dcterms:W3CDTF">2019-07-11T06:45:37Z</dcterms:modified>
</cp:coreProperties>
</file>